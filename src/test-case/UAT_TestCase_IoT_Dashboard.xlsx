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ahtiarsubrata/Documents/MyFile/MyProject/iot-dashboard-v2/iot-dashboard-v2/src/test-case/"/>
    </mc:Choice>
  </mc:AlternateContent>
  <xr:revisionPtr revIDLastSave="0" documentId="8_{C4C2C2EB-9FE7-2745-9374-36713D321FEC}" xr6:coauthVersionLast="47" xr6:coauthVersionMax="47" xr10:uidLastSave="{00000000-0000-0000-0000-000000000000}"/>
  <bookViews>
    <workbookView xWindow="0" yWindow="880" windowWidth="40960" windowHeight="24420" activeTab="11" xr2:uid="{00000000-000D-0000-FFFF-FFFF00000000}"/>
  </bookViews>
  <sheets>
    <sheet name="Cover" sheetId="1" r:id="rId1"/>
    <sheet name="Instructions" sheetId="2" r:id="rId2"/>
    <sheet name="Test Summary" sheetId="3" r:id="rId3"/>
    <sheet name="TC_Authentication" sheetId="4" r:id="rId4"/>
    <sheet name="TC_Dashboard" sheetId="5" r:id="rId5"/>
    <sheet name="TC_Device_Mgmt" sheetId="6" r:id="rId6"/>
    <sheet name="TC_User_Mgmt" sheetId="7" r:id="rId7"/>
    <sheet name="TC_Activity" sheetId="8" r:id="rId8"/>
    <sheet name="TC_Profile" sheetId="9" r:id="rId9"/>
    <sheet name="TC_Navigation" sheetId="10" r:id="rId10"/>
    <sheet name="TC_API" sheetId="11" r:id="rId11"/>
    <sheet name="Account" sheetId="12" r:id="rId12"/>
  </sheets>
  <definedNames>
    <definedName name="_xlnm.Print_Titles" localSheetId="7">TC_Activity!$1:$2</definedName>
    <definedName name="_xlnm.Print_Titles" localSheetId="10">TC_API!$1:$2</definedName>
    <definedName name="_xlnm.Print_Titles" localSheetId="3">TC_Authentication!$1:$2</definedName>
    <definedName name="_xlnm.Print_Titles" localSheetId="4">TC_Dashboard!$1:$2</definedName>
    <definedName name="_xlnm.Print_Titles" localSheetId="5">TC_Device_Mgmt!$1:$2</definedName>
    <definedName name="_xlnm.Print_Titles" localSheetId="9">TC_Navigation!$1:$2</definedName>
    <definedName name="_xlnm.Print_Titles" localSheetId="8">TC_Profile!$1:$2</definedName>
    <definedName name="_xlnm.Print_Titles" localSheetId="6">TC_User_Mgmt!$1:$2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F12" i="3"/>
  <c r="E12" i="3"/>
  <c r="D12" i="3"/>
  <c r="H12" i="3" s="1"/>
  <c r="C12" i="3"/>
  <c r="G11" i="3"/>
  <c r="F11" i="3"/>
  <c r="E11" i="3"/>
  <c r="D11" i="3"/>
  <c r="I11" i="3" s="1"/>
  <c r="C11" i="3"/>
  <c r="G10" i="3"/>
  <c r="F10" i="3"/>
  <c r="E10" i="3"/>
  <c r="D10" i="3"/>
  <c r="I10" i="3" s="1"/>
  <c r="C10" i="3"/>
  <c r="I9" i="3"/>
  <c r="G9" i="3"/>
  <c r="F9" i="3"/>
  <c r="E9" i="3"/>
  <c r="D9" i="3"/>
  <c r="H9" i="3" s="1"/>
  <c r="C9" i="3"/>
  <c r="I8" i="3"/>
  <c r="H8" i="3"/>
  <c r="G8" i="3"/>
  <c r="F8" i="3"/>
  <c r="E8" i="3"/>
  <c r="D8" i="3"/>
  <c r="C8" i="3"/>
  <c r="H7" i="3"/>
  <c r="G7" i="3"/>
  <c r="F7" i="3"/>
  <c r="I7" i="3" s="1"/>
  <c r="E7" i="3"/>
  <c r="D7" i="3"/>
  <c r="C7" i="3"/>
  <c r="H6" i="3"/>
  <c r="G6" i="3"/>
  <c r="F6" i="3"/>
  <c r="E6" i="3"/>
  <c r="I6" i="3" s="1"/>
  <c r="D6" i="3"/>
  <c r="C6" i="3"/>
  <c r="G5" i="3"/>
  <c r="G13" i="3" s="1"/>
  <c r="F5" i="3"/>
  <c r="F13" i="3" s="1"/>
  <c r="E5" i="3"/>
  <c r="E13" i="3" s="1"/>
  <c r="D5" i="3"/>
  <c r="H5" i="3" s="1"/>
  <c r="C5" i="3"/>
  <c r="C13" i="3" s="1"/>
  <c r="I5" i="3" l="1"/>
  <c r="H11" i="3"/>
  <c r="I12" i="3"/>
  <c r="H10" i="3"/>
  <c r="D13" i="3"/>
  <c r="I13" i="3" l="1"/>
  <c r="H13" i="3"/>
</calcChain>
</file>

<file path=xl/sharedStrings.xml><?xml version="1.0" encoding="utf-8"?>
<sst xmlns="http://schemas.openxmlformats.org/spreadsheetml/2006/main" count="993" uniqueCount="578">
  <si>
    <t>IoT Dashboard v2</t>
  </si>
  <si>
    <t>User Acceptance Testing (UAT) — Test Case Document</t>
  </si>
  <si>
    <t>Document Information</t>
  </si>
  <si>
    <t>Project</t>
  </si>
  <si>
    <t>Document Version</t>
  </si>
  <si>
    <t>1.2</t>
  </si>
  <si>
    <t>Date</t>
  </si>
  <si>
    <t>2026-04-19</t>
  </si>
  <si>
    <t>Prepared By</t>
  </si>
  <si>
    <t>QA Team</t>
  </si>
  <si>
    <t>Environment</t>
  </si>
  <si>
    <t>Staging / Pre-Production</t>
  </si>
  <si>
    <t>Frontend</t>
  </si>
  <si>
    <t>Next.js 15 (App Router), TypeScript, TailwindCSS</t>
  </si>
  <si>
    <t>Backend</t>
  </si>
  <si>
    <t>FastAPI, PostgreSQL, JWT (HTTP-only cookie bridge)</t>
  </si>
  <si>
    <t>Authentication</t>
  </si>
  <si>
    <t>Cookie-based JWT — enforced via server components + proxy</t>
  </si>
  <si>
    <t>Modules Covered</t>
  </si>
  <si>
    <t>TC_Authentication</t>
  </si>
  <si>
    <t>Login, registration, JWT cookie, role-based redirect</t>
  </si>
  <si>
    <t>TC_Dashboard</t>
  </si>
  <si>
    <t>Stat cards, recent devices, recent activities feed</t>
  </si>
  <si>
    <t>TC_Device_Mgmt</t>
  </si>
  <si>
    <t>Grid/list, pump status filter, CRUD, QR code</t>
  </si>
  <si>
    <t>TC_User_Mgmt</t>
  </si>
  <si>
    <t>Search, role filter, CRUD, superuser-only role edits</t>
  </si>
  <si>
    <t>TC_Activity</t>
  </si>
  <si>
    <t>Category filter, stat cards, trend chart, pagination</t>
  </si>
  <si>
    <t>TC_Profile</t>
  </si>
  <si>
    <t>Self-service profile update (name/email/password)</t>
  </si>
  <si>
    <t>TC_Navigation</t>
  </si>
  <si>
    <t>Sidebar, NavUser dropdown, server-resolved role</t>
  </si>
  <si>
    <t>TC_API</t>
  </si>
  <si>
    <t>Proxy, trailing-slash redirects, 401 handling</t>
  </si>
  <si>
    <t>Legend</t>
  </si>
  <si>
    <t>Status values</t>
  </si>
  <si>
    <t>Pass  •  Fail  •  Blocked  •  Not Tested</t>
  </si>
  <si>
    <t>Priority values</t>
  </si>
  <si>
    <t>High  •  Medium  •  Low</t>
  </si>
  <si>
    <t>Roles</t>
  </si>
  <si>
    <t>superuser, admin, user</t>
  </si>
  <si>
    <t>How to use</t>
  </si>
  <si>
    <t>Open each module tab. For each row, fill Status, Actual Result, Tester, Date Tested, and Remarks. Status and Priority are dropdowns.</t>
  </si>
  <si>
    <t>Status Color Key</t>
  </si>
  <si>
    <t>Pass</t>
  </si>
  <si>
    <t>Cells with status "Pass" are highlighted in this color.</t>
  </si>
  <si>
    <t>Fail</t>
  </si>
  <si>
    <t>Cells with status "Fail" are highlighted in this color.</t>
  </si>
  <si>
    <t>Blocked</t>
  </si>
  <si>
    <t>Cells with status "Blocked" are highlighted in this color.</t>
  </si>
  <si>
    <t>Not Tested</t>
  </si>
  <si>
    <t>Cells with status "Not Tested" are highlighted in this color.</t>
  </si>
  <si>
    <t>How to Use This Document</t>
  </si>
  <si>
    <t>1</t>
  </si>
  <si>
    <t>Open the module tab you want to test (e.g. TC_Authentication).</t>
  </si>
  <si>
    <t>2</t>
  </si>
  <si>
    <t>Read the Pre-Condition, then follow the numbered Test Steps exactly.</t>
  </si>
  <si>
    <t>3</t>
  </si>
  <si>
    <t>Compare the actual behavior with the Expected Result column.</t>
  </si>
  <si>
    <t>4</t>
  </si>
  <si>
    <t>Set the Status cell using the dropdown: Pass, Fail, Blocked, or Not Tested.</t>
  </si>
  <si>
    <t>5</t>
  </si>
  <si>
    <t>Fill in Actual Result when it differs from Expected, plus Tester name and Date Tested.</t>
  </si>
  <si>
    <t>6</t>
  </si>
  <si>
    <t>Use the Remarks column for bug IDs, screenshots links, or additional context.</t>
  </si>
  <si>
    <t>7</t>
  </si>
  <si>
    <t>The Test Summary tab automatically aggregates Pass/Fail/Blocked counts and Pass %.</t>
  </si>
  <si>
    <t>Tips</t>
  </si>
  <si>
    <t>•  Columns for Status and Priority are restricted to valid values — use the dropdown arrow.</t>
  </si>
  <si>
    <t>•  Status cells are color-coded automatically (green=Pass, red=Fail, amber=Blocked, grey=Not Tested).</t>
  </si>
  <si>
    <t>•  Header row and the first three columns are frozen — scroll without losing context.</t>
  </si>
  <si>
    <t>•  Use Ctrl/Cmd + F to search any Test Case ID (e.g. TC-AUTH-001) across sheets.</t>
  </si>
  <si>
    <t>•  Print is pre-configured: landscape, fit-to-width, header row repeats on every page.</t>
  </si>
  <si>
    <t>Test Execution Summary</t>
  </si>
  <si>
    <t>Module</t>
  </si>
  <si>
    <t>Total</t>
  </si>
  <si>
    <t>Pass %</t>
  </si>
  <si>
    <t>Progress</t>
  </si>
  <si>
    <t>Grand Total</t>
  </si>
  <si>
    <t>TC_Authentication — Login, Register, Session</t>
  </si>
  <si>
    <t>No</t>
  </si>
  <si>
    <t>Test Case ID</t>
  </si>
  <si>
    <t>Test Case Name</t>
  </si>
  <si>
    <t>Priority</t>
  </si>
  <si>
    <t>Pre-Condition</t>
  </si>
  <si>
    <t>Test Steps</t>
  </si>
  <si>
    <t>Expected Result</t>
  </si>
  <si>
    <t>Status</t>
  </si>
  <si>
    <t>Actual Result</t>
  </si>
  <si>
    <t>Tester</t>
  </si>
  <si>
    <t>Date Tested</t>
  </si>
  <si>
    <t>Remarks</t>
  </si>
  <si>
    <t>TC-AUTH-001</t>
  </si>
  <si>
    <t>Open root page renders the Login screen</t>
  </si>
  <si>
    <t>High</t>
  </si>
  <si>
    <t>User is not authenticated (no auth-token cookie).</t>
  </si>
  <si>
    <t>1. Open the app at /
2. Observe the page content</t>
  </si>
  <si>
    <t>Login form is displayed with email/password fields and links to Register.</t>
  </si>
  <si>
    <t>TC-AUTH-002</t>
  </si>
  <si>
    <t>Login with valid superuser credentials</t>
  </si>
  <si>
    <t>A superuser account exists.</t>
  </si>
  <si>
    <t>1. Go to /
2. Enter valid superuser email + password
3. Click Login</t>
  </si>
  <si>
    <t>Sets auth-token cookie (SameSite=Lax, 7-day max-age) and redirects to /dashboard.</t>
  </si>
  <si>
    <t>TC-AUTH-003</t>
  </si>
  <si>
    <t>Login with valid admin credentials</t>
  </si>
  <si>
    <t>An admin account exists.</t>
  </si>
  <si>
    <t>1. Go to /
2. Enter valid admin email + password
3. Click Login</t>
  </si>
  <si>
    <t>Login succeeds and user lands on /dashboard with admin-scoped sidebar.</t>
  </si>
  <si>
    <t>TC-AUTH-004</t>
  </si>
  <si>
    <t>Login with role=user is blocked from dashboard</t>
  </si>
  <si>
    <t>A user with role=user exists.</t>
  </si>
  <si>
    <t>1. Log in as role=user at /
2. Attempt to access /dashboard</t>
  </si>
  <si>
    <t>Server component redirects role=user back to / — the dashboard is never rendered.</t>
  </si>
  <si>
    <t>TC-AUTH-005</t>
  </si>
  <si>
    <t>Login with invalid credentials shows error</t>
  </si>
  <si>
    <t>User is on the login page.</t>
  </si>
  <si>
    <t>1. Enter an unknown email or wrong password
2. Submit the form</t>
  </si>
  <si>
    <t>Error toast/message is shown and no auth-token cookie is set.</t>
  </si>
  <si>
    <t>TC-AUTH-006</t>
  </si>
  <si>
    <t>Login form validation — empty fields</t>
  </si>
  <si>
    <t>Medium</t>
  </si>
  <si>
    <t>User is on /</t>
  </si>
  <si>
    <t>1. Leave email and/or password empty
2. Click Login</t>
  </si>
  <si>
    <t>Zod/React-Hook-Form validation errors are shown inline; no request is sent.</t>
  </si>
  <si>
    <t>TC-AUTH-007</t>
  </si>
  <si>
    <t>Login form validation — invalid email format</t>
  </si>
  <si>
    <t>1. Enter 'not-an-email' in email field
2. Enter any password
3. Submit</t>
  </si>
  <si>
    <t>Email field shows a format validation error.</t>
  </si>
  <si>
    <t>TC-AUTH-008</t>
  </si>
  <si>
    <t>Open Register page from login screen</t>
  </si>
  <si>
    <t>1. Click the 'Register' link</t>
  </si>
  <si>
    <t>Navigates to /register and displays the registration form.</t>
  </si>
  <si>
    <t>TC-AUTH-009</t>
  </si>
  <si>
    <t>Register a new account</t>
  </si>
  <si>
    <t>Email is not already registered.</t>
  </si>
  <si>
    <t>1. Go to /register
2. Fill name, email, password
3. Submit</t>
  </si>
  <si>
    <t>Account is created (default role=user) and user is redirected / prompted to login.</t>
  </si>
  <si>
    <t>TC-AUTH-010</t>
  </si>
  <si>
    <t>Register with duplicate email</t>
  </si>
  <si>
    <t>An account with the target email exists.</t>
  </si>
  <si>
    <t>1. Go to /register
2. Submit with an already-registered email</t>
  </si>
  <si>
    <t>Backend returns conflict; UI shows an error and the form stays on screen.</t>
  </si>
  <si>
    <t>TC-AUTH-011</t>
  </si>
  <si>
    <t>Register form validation</t>
  </si>
  <si>
    <t>User is on /register</t>
  </si>
  <si>
    <t>1. Submit empty form
2. Enter invalid email
3. Enter password shorter than minimum</t>
  </si>
  <si>
    <t>Inline validation errors appear; submit is blocked until valid.</t>
  </si>
  <si>
    <t>TC-AUTH-012</t>
  </si>
  <si>
    <t>Logout from NavUser dropdown</t>
  </si>
  <si>
    <t>User is logged in on /dashboard.</t>
  </si>
  <si>
    <t>1. Open the sidebar NavUser dropdown
2. Click 'Log out'</t>
  </si>
  <si>
    <t>auth-token cookie is cleared, zustand user is reset, and user is redirected to /.</t>
  </si>
  <si>
    <t>TC-AUTH-013</t>
  </si>
  <si>
    <t>Access /dashboard without cookie</t>
  </si>
  <si>
    <t>auth-token cookie is absent/expired.</t>
  </si>
  <si>
    <t>1. Clear cookies
2. Navigate directly to /dashboard</t>
  </si>
  <si>
    <t>getServerUser returns null and the route redirects to /.</t>
  </si>
  <si>
    <t>TC-AUTH-014</t>
  </si>
  <si>
    <t>Access /dashboard/user-activity as admin</t>
  </si>
  <si>
    <t>User is logged in as role=admin.</t>
  </si>
  <si>
    <t>1. Navigate to /dashboard/user-activity</t>
  </si>
  <si>
    <t>Page redirects to /dashboard because role !== superuser.</t>
  </si>
  <si>
    <t>TC-AUTH-015</t>
  </si>
  <si>
    <t>Auth cookie survives full page reload</t>
  </si>
  <si>
    <t>User is logged in.</t>
  </si>
  <si>
    <t>1. On any /dashboard page, press Cmd/Ctrl + R</t>
  </si>
  <si>
    <t>Session persists: getServerUser reads the cookie and the page re-renders without redirect.</t>
  </si>
  <si>
    <t>TC_Dashboard — Stat Cards, Recent Devices &amp; Activities</t>
  </si>
  <si>
    <t>TC-DASH-001</t>
  </si>
  <si>
    <t>Dashboard renders for logged-in admin/superuser</t>
  </si>
  <si>
    <t>Dashboard</t>
  </si>
  <si>
    <t>Logged in as admin or superuser.</t>
  </si>
  <si>
    <t>1. Navigate to /dashboard
2. Wait for data to load</t>
  </si>
  <si>
    <t>Page renders with stat cards, Recent Devices table, and Recent Activities feed.</t>
  </si>
  <si>
    <t>TC-DASH-002</t>
  </si>
  <si>
    <t>Total Users stat card</t>
  </si>
  <si>
    <t>At least 1 user exists.</t>
  </si>
  <si>
    <t>1. Open /dashboard
2. Inspect the 'Total Users' card</t>
  </si>
  <si>
    <t>Value equals the count returned by GET /admin/users/ (or its count endpoint).</t>
  </si>
  <si>
    <t>TC-DASH-003</t>
  </si>
  <si>
    <t>Total Devices stat card</t>
  </si>
  <si>
    <t>At least 1 device exists.</t>
  </si>
  <si>
    <t>1. Open /dashboard
2. Inspect the 'Total Devices' card</t>
  </si>
  <si>
    <t>Value matches the device count from the devices API.</t>
  </si>
  <si>
    <t>TC-DASH-004</t>
  </si>
  <si>
    <t>Active Pumps stat card</t>
  </si>
  <si>
    <t>≥ 1 device has status_pompa=true.</t>
  </si>
  <si>
    <t>1. Open /dashboard
2. Inspect 'Active Pumps'</t>
  </si>
  <si>
    <t>Count equals the number of devices with status_pompa=true.</t>
  </si>
  <si>
    <t>TC-DASH-005</t>
  </si>
  <si>
    <t>Inactive Pumps stat card</t>
  </si>
  <si>
    <t>≥ 1 device has status_pompa=false.</t>
  </si>
  <si>
    <t>1. Open /dashboard
2. Inspect 'Inactive Pumps'</t>
  </si>
  <si>
    <t>Count equals the number of devices with status_pompa=false.</t>
  </si>
  <si>
    <t>TC-DASH-006</t>
  </si>
  <si>
    <t>Recent Devices table shows owner name</t>
  </si>
  <si>
    <t>Devices exist with known owner_id values.</t>
  </si>
  <si>
    <t>1. Open /dashboard
2. Locate the Recent Devices table</t>
  </si>
  <si>
    <t>Each row shows device_id, owner name (joined from users), pump status, last_seen.</t>
  </si>
  <si>
    <t>TC-DASH-007</t>
  </si>
  <si>
    <t>Recent Activities feed</t>
  </si>
  <si>
    <t>Activity logs exist.</t>
  </si>
  <si>
    <t>1. Open /dashboard
2. Scroll to Recent Activities</t>
  </si>
  <si>
    <t>Feed shows the latest log entries with category badge, actor name, and timestamp.</t>
  </si>
  <si>
    <t>TC-DASH-008</t>
  </si>
  <si>
    <t>Empty state — no devices</t>
  </si>
  <si>
    <t>No devices in the database.</t>
  </si>
  <si>
    <t>1. Open /dashboard</t>
  </si>
  <si>
    <t>Stat cards show 0 and Recent Devices displays an empty-state message (no crash).</t>
  </si>
  <si>
    <t>TC-DASH-009</t>
  </si>
  <si>
    <t>Recent Devices links navigate to Device Management</t>
  </si>
  <si>
    <t>Low</t>
  </si>
  <si>
    <t>Devices exist.</t>
  </si>
  <si>
    <t>1. Open /dashboard
2. Click the 'View all' / device link</t>
  </si>
  <si>
    <t>Navigates to /dashboard/device-management.</t>
  </si>
  <si>
    <t>TC-DASH-010</t>
  </si>
  <si>
    <t>Dashboard initial load uses server user</t>
  </si>
  <si>
    <t>Logged in as admin.</t>
  </si>
  <si>
    <t>1. Hard refresh /dashboard
2. Observe the sidebar/header on first paint</t>
  </si>
  <si>
    <t>Sidebar renders immediately with the correct role — no flash/glitch from client hydration.</t>
  </si>
  <si>
    <t>TC_Device_Mgmt — Devices, Filters, QR Code</t>
  </si>
  <si>
    <t>TC-DEV-001</t>
  </si>
  <si>
    <t>Open Device Management page</t>
  </si>
  <si>
    <t>Device Management</t>
  </si>
  <si>
    <t>1. Click 'Device Management' in the sidebar</t>
  </si>
  <si>
    <t>Page loads at /dashboard/device-management with grid view by default.</t>
  </si>
  <si>
    <t>TC-DEV-002</t>
  </si>
  <si>
    <t>Toggle between Grid and List view</t>
  </si>
  <si>
    <t>Device Management page is open and devices exist.</t>
  </si>
  <si>
    <t>1. Click the Grid/List toggle button</t>
  </si>
  <si>
    <t>Devices re-render: Grid shows device cards, List shows a tabular layout; preference is applied immediately.</t>
  </si>
  <si>
    <t>TC-DEV-003</t>
  </si>
  <si>
    <t>Filter devices by pump status — Active</t>
  </si>
  <si>
    <t>Mix of active and inactive devices exists.</t>
  </si>
  <si>
    <t>1. Open the pump status filter
2. Choose 'Active' (status_pompa=true)</t>
  </si>
  <si>
    <t>Only devices with status_pompa=true are displayed.</t>
  </si>
  <si>
    <t>TC-DEV-004</t>
  </si>
  <si>
    <t>Filter devices by pump status — Inactive</t>
  </si>
  <si>
    <t>Mix of devices exists.</t>
  </si>
  <si>
    <t>1. Choose 'Inactive' in the pump status filter</t>
  </si>
  <si>
    <t>Only devices with status_pompa=false are displayed.</t>
  </si>
  <si>
    <t>TC-DEV-005</t>
  </si>
  <si>
    <t>Reset pump status filter to All</t>
  </si>
  <si>
    <t>A filter is applied.</t>
  </si>
  <si>
    <t>1. Choose 'All' in the pump status filter</t>
  </si>
  <si>
    <t>Every device is listed again.</t>
  </si>
  <si>
    <t>TC-DEV-006</t>
  </si>
  <si>
    <t>Add a new device</t>
  </si>
  <si>
    <t>At least one user exists to be the owner.</t>
  </si>
  <si>
    <t>1. Click 'Add Device'
2. Fill device_id, owner_id (user), initial status
3. Submit</t>
  </si>
  <si>
    <t>Device is created via POST /admin/devices/ and appears in the list.</t>
  </si>
  <si>
    <t>TC-DEV-007</t>
  </si>
  <si>
    <t>Add Device — validation for empty fields</t>
  </si>
  <si>
    <t>Add Device dialog open.</t>
  </si>
  <si>
    <t>1. Submit with empty device_id or owner_id</t>
  </si>
  <si>
    <t>Inline validation errors appear; no API call is made.</t>
  </si>
  <si>
    <t>TC-DEV-008</t>
  </si>
  <si>
    <t>Edit existing device</t>
  </si>
  <si>
    <t>≥ 1 device exists.</t>
  </si>
  <si>
    <t>1. Click Edit on a device
2. Change owner or pump status
3. Save</t>
  </si>
  <si>
    <t>PUT /admin/devices/{id} is sent and the list reflects the change.</t>
  </si>
  <si>
    <t>TC-DEV-009</t>
  </si>
  <si>
    <t>Delete a device with confirmation</t>
  </si>
  <si>
    <t>1. Click Delete on a device
2. Confirm the dialog</t>
  </si>
  <si>
    <t>DELETE /admin/devices/{id} succeeds; device is removed and a success toast appears.</t>
  </si>
  <si>
    <t>TC-DEV-010</t>
  </si>
  <si>
    <t>Cancel delete dialog</t>
  </si>
  <si>
    <t>Delete confirmation is open.</t>
  </si>
  <si>
    <t>1. Click Cancel in the confirm dialog</t>
  </si>
  <si>
    <t>Dialog closes and the device remains in the list.</t>
  </si>
  <si>
    <t>TC-DEV-011</t>
  </si>
  <si>
    <t>Open QR code dialog for a device</t>
  </si>
  <si>
    <t>1. Click the QR code icon on a device card/row</t>
  </si>
  <si>
    <t>Dialog opens with a scannable QR code encoding the device_id (and/or link).</t>
  </si>
  <si>
    <t>TC-DEV-012</t>
  </si>
  <si>
    <t>Close QR code dialog</t>
  </si>
  <si>
    <t>QR dialog is open.</t>
  </si>
  <si>
    <t>1. Click outside or press Esc</t>
  </si>
  <si>
    <t>Dialog closes; underlying list is unchanged.</t>
  </si>
  <si>
    <t>TC-DEV-013</t>
  </si>
  <si>
    <t>Device card shows last_seen timestamp</t>
  </si>
  <si>
    <t>Device has a last_seen value.</t>
  </si>
  <si>
    <t>1. Inspect any device card</t>
  </si>
  <si>
    <t>Last seen is displayed in a human-readable form (e.g. relative time).</t>
  </si>
  <si>
    <t>TC-DEV-014</t>
  </si>
  <si>
    <t>Device pump status uses Droplets icon</t>
  </si>
  <si>
    <t>Devices visible.</t>
  </si>
  <si>
    <t>1. Inspect device cards</t>
  </si>
  <si>
    <t>Each card shows the Droplets icon with color/state reflecting status_pompa.</t>
  </si>
  <si>
    <t>TC-DEV-015</t>
  </si>
  <si>
    <t>Deleted device disappears from Recent Devices on Dashboard</t>
  </si>
  <si>
    <t>A device exists and is in Recent Devices.</t>
  </si>
  <si>
    <t>1. Delete the device
2. Navigate to /dashboard</t>
  </si>
  <si>
    <t>Recent Devices no longer shows the deleted device.</t>
  </si>
  <si>
    <t>TC_User_Mgmt — Users, Roles, Search &amp; Filters</t>
  </si>
  <si>
    <t>TC-USR-001</t>
  </si>
  <si>
    <t>Open User Management page</t>
  </si>
  <si>
    <t>User Management</t>
  </si>
  <si>
    <t>1. Click 'User Management' in the sidebar</t>
  </si>
  <si>
    <t>Page loads at /dashboard/user-management with a table of users.</t>
  </si>
  <si>
    <t>TC-USR-002</t>
  </si>
  <si>
    <t>Search users by name</t>
  </si>
  <si>
    <t>≥ 2 users exist.</t>
  </si>
  <si>
    <t>1. Type a partial name in the search field</t>
  </si>
  <si>
    <t>Only users whose name matches the query are displayed.</t>
  </si>
  <si>
    <t>TC-USR-003</t>
  </si>
  <si>
    <t>Search users by email</t>
  </si>
  <si>
    <t>Users with distinct emails exist.</t>
  </si>
  <si>
    <t>1. Type a partial email in the search field</t>
  </si>
  <si>
    <t>Matching users are filtered in; non-matching are hidden.</t>
  </si>
  <si>
    <t>TC-USR-004</t>
  </si>
  <si>
    <t>Role filter — superuser only</t>
  </si>
  <si>
    <t>Users of every role exist.</t>
  </si>
  <si>
    <t>1. Set the role filter to 'Superuser'</t>
  </si>
  <si>
    <t>Table shows only users with role=superuser.</t>
  </si>
  <si>
    <t>TC-USR-005</t>
  </si>
  <si>
    <t>Role filter — admin only</t>
  </si>
  <si>
    <t>1. Set the role filter to 'Admin'</t>
  </si>
  <si>
    <t>Table shows only users with role=admin.</t>
  </si>
  <si>
    <t>TC-USR-006</t>
  </si>
  <si>
    <t>Role filter — user only</t>
  </si>
  <si>
    <t>1. Set the role filter to 'User'</t>
  </si>
  <si>
    <t>Table shows only users with role=user.</t>
  </si>
  <si>
    <t>TC-USR-007</t>
  </si>
  <si>
    <t>Create a new user as superuser</t>
  </si>
  <si>
    <t>Logged in as superuser.</t>
  </si>
  <si>
    <t>1. Click 'Add User'
2. Fill nama, email, password, role
3. Submit</t>
  </si>
  <si>
    <t>POST /admin/users/ succeeds and the new user appears in the table.</t>
  </si>
  <si>
    <t>TC-USR-008</t>
  </si>
  <si>
    <t>Admin cannot assign superuser role</t>
  </si>
  <si>
    <t>1. Click 'Add User'
2. Inspect the role selector</t>
  </si>
  <si>
    <t>The role selector does not offer 'superuser' (or backend rejects it).</t>
  </si>
  <si>
    <t>TC-USR-009</t>
  </si>
  <si>
    <t>Edit user name/email</t>
  </si>
  <si>
    <t>≥ 1 user exists.</t>
  </si>
  <si>
    <t>1. Click Edit on a user
2. Change nama/email
3. Save</t>
  </si>
  <si>
    <t>PUT /admin/users/{id} succeeds and the table reflects the change.</t>
  </si>
  <si>
    <t>TC-USR-010</t>
  </si>
  <si>
    <t>Delete a user with confirmation</t>
  </si>
  <si>
    <t>A deletable user exists.</t>
  </si>
  <si>
    <t>1. Click Delete
2. Confirm</t>
  </si>
  <si>
    <t>DELETE /admin/users/{id} succeeds; user is removed from the table.</t>
  </si>
  <si>
    <t>TC-USR-011</t>
  </si>
  <si>
    <t>Cannot delete own account</t>
  </si>
  <si>
    <t>Logged in as the user being deleted.</t>
  </si>
  <si>
    <t>1. Attempt to delete the currently logged-in account</t>
  </si>
  <si>
    <t>Action is blocked client-side or backend returns a descriptive error.</t>
  </si>
  <si>
    <t>TC-USR-012</t>
  </si>
  <si>
    <t>Metric card — Total Users</t>
  </si>
  <si>
    <t>Users exist.</t>
  </si>
  <si>
    <t>1. Inspect the Total Users metric card</t>
  </si>
  <si>
    <t>Value matches the filtered list count (or total depending on card spec).</t>
  </si>
  <si>
    <t>TC-USR-013</t>
  </si>
  <si>
    <t>Metric card — Admins count</t>
  </si>
  <si>
    <t>Admins and non-admins exist.</t>
  </si>
  <si>
    <t>1. Inspect the Admins metric card</t>
  </si>
  <si>
    <t>Count equals number of users with role=admin.</t>
  </si>
  <si>
    <t>TC_Activity — Activity Logs, Categories, Trend Chart</t>
  </si>
  <si>
    <t>TC-ACT-001</t>
  </si>
  <si>
    <t>Superuser can access User Activity</t>
  </si>
  <si>
    <t>Activity</t>
  </si>
  <si>
    <t>1. Click 'User Activity' in the sidebar</t>
  </si>
  <si>
    <t>Page /dashboard/user-activity renders with stats, chart, and table.</t>
  </si>
  <si>
    <t>TC-ACT-002</t>
  </si>
  <si>
    <t>Admin is redirected away from User Activity</t>
  </si>
  <si>
    <t>1. Navigate directly to /dashboard/user-activity</t>
  </si>
  <si>
    <t>Server component redirects to /dashboard (feature is superuser-only).</t>
  </si>
  <si>
    <t>TC-ACT-003</t>
  </si>
  <si>
    <t>User Activity is hidden from admin sidebar</t>
  </si>
  <si>
    <t>1. Inspect the sidebar items</t>
  </si>
  <si>
    <t>'User Activity' item is not rendered for admin users.</t>
  </si>
  <si>
    <t>TC-ACT-004</t>
  </si>
  <si>
    <t>Stat card — Total logs</t>
  </si>
  <si>
    <t>1. Open User Activity
2. Inspect the Total stat card</t>
  </si>
  <si>
    <t>Count equals the total returned by GET /admin/activity-logs/count.</t>
  </si>
  <si>
    <t>TC-ACT-005</t>
  </si>
  <si>
    <t>Stat cards per category (Device / Control / Administrative)</t>
  </si>
  <si>
    <t>Logs exist across categories.</t>
  </si>
  <si>
    <t>1. Inspect each category stat card</t>
  </si>
  <si>
    <t>Each card value matches the backend count for that category.</t>
  </si>
  <si>
    <t>TC-ACT-006</t>
  </si>
  <si>
    <t>Filter table by Device category</t>
  </si>
  <si>
    <t>Logs of multiple categories exist.</t>
  </si>
  <si>
    <t>1. Choose 'Device' in the category filter</t>
  </si>
  <si>
    <t>Only device-category entries are listed and pagination updates.</t>
  </si>
  <si>
    <t>TC-ACT-007</t>
  </si>
  <si>
    <t>Filter table by Control category</t>
  </si>
  <si>
    <t>Control logs exist.</t>
  </si>
  <si>
    <t>1. Choose 'Control' in the filter</t>
  </si>
  <si>
    <t>Only control-category entries are listed.</t>
  </si>
  <si>
    <t>TC-ACT-008</t>
  </si>
  <si>
    <t>Filter table by Administrative category</t>
  </si>
  <si>
    <t>Administrative logs exist.</t>
  </si>
  <si>
    <t>1. Choose 'Administrative' in the filter</t>
  </si>
  <si>
    <t>Only administrative-category entries are listed.</t>
  </si>
  <si>
    <t>TC-ACT-009</t>
  </si>
  <si>
    <t>Reset filter to All categories</t>
  </si>
  <si>
    <t>A category filter is active.</t>
  </si>
  <si>
    <t>1. Choose 'All' in the filter</t>
  </si>
  <si>
    <t>Table lists logs of every category.</t>
  </si>
  <si>
    <t>TC-ACT-010</t>
  </si>
  <si>
    <t>Pagination — next / previous page</t>
  </si>
  <si>
    <t>≥ 2 pages of logs exist.</t>
  </si>
  <si>
    <t>1. Click Next
2. Click Previous</t>
  </si>
  <si>
    <t>Table reflects the new offset; page indicator updates accordingly.</t>
  </si>
  <si>
    <t>TC-ACT-011</t>
  </si>
  <si>
    <t>Activity log table shows joined user name</t>
  </si>
  <si>
    <t>Logs have a valid user_id.</t>
  </si>
  <si>
    <t>1. Inspect any log row</t>
  </si>
  <si>
    <t>User column shows the user's name (not just the UUID).</t>
  </si>
  <si>
    <t>TC-ACT-012</t>
  </si>
  <si>
    <t>Trend chart shows last 24 hours bucketed</t>
  </si>
  <si>
    <t>Recent logs exist in the last 24 hours.</t>
  </si>
  <si>
    <t>1. Inspect the trend chart on the Activity page</t>
  </si>
  <si>
    <t>Chart shows 24 hourly buckets aligned with the latest data.</t>
  </si>
  <si>
    <t>TC_Profile — Self-Service Profile Update</t>
  </si>
  <si>
    <t>TC-PRO-001</t>
  </si>
  <si>
    <t>Open Profile page from NavUser dropdown</t>
  </si>
  <si>
    <t>Profile</t>
  </si>
  <si>
    <t>Logged in as admin/superuser.</t>
  </si>
  <si>
    <t>1. Open the NavUser dropdown at the bottom of the sidebar
2. Click 'Profile'</t>
  </si>
  <si>
    <t>Navigates to /dashboard/profile and shows the user's identity card + edit form.</t>
  </si>
  <si>
    <t>TC-PRO-002</t>
  </si>
  <si>
    <t>Identity card reflects current user</t>
  </si>
  <si>
    <t>Logged in.</t>
  </si>
  <si>
    <t>1. Inspect the left-hand identity card</t>
  </si>
  <si>
    <t>Shows initials, name, email, role pill, and user id (from getServerUser).</t>
  </si>
  <si>
    <t>TC-PRO-003</t>
  </si>
  <si>
    <t>Role input is disabled</t>
  </si>
  <si>
    <t>1. Attempt to edit the Role field</t>
  </si>
  <si>
    <t>Field is disabled and helper text says 'Roles can only be changed by a super admin.'</t>
  </si>
  <si>
    <t>TC-PRO-004</t>
  </si>
  <si>
    <t>Save Changes button disabled until form is dirty</t>
  </si>
  <si>
    <t>Page just loaded.</t>
  </si>
  <si>
    <t>1. Open /dashboard/profile
2. Inspect Save Changes button</t>
  </si>
  <si>
    <t>Button is disabled on load; becomes enabled once any field changes.</t>
  </si>
  <si>
    <t>TC-PRO-005</t>
  </si>
  <si>
    <t>Update name successfully</t>
  </si>
  <si>
    <t>1. Change 'Full Name'
2. Click Save Changes</t>
  </si>
  <si>
    <t>PUT /admin/users/{id} is sent; toast 'Profile updated' is shown; sidebar NavUser reflects the new name immediately.</t>
  </si>
  <si>
    <t>TC-PRO-006</t>
  </si>
  <si>
    <t>Update email successfully</t>
  </si>
  <si>
    <t>Email is not used by another account.</t>
  </si>
  <si>
    <t>1. Change email to a new valid address
2. Save</t>
  </si>
  <si>
    <t>Request succeeds; zustand user is updated via setUser; form resets to new defaults.</t>
  </si>
  <si>
    <t>TC-PRO-007</t>
  </si>
  <si>
    <t>Leave password blank — password unchanged</t>
  </si>
  <si>
    <t>1. Clear the password field
2. Change name only
3. Save</t>
  </si>
  <si>
    <t>Request body omits password; existing password remains valid for login.</t>
  </si>
  <si>
    <t>TC-PRO-008</t>
  </si>
  <si>
    <t>Update password with valid value</t>
  </si>
  <si>
    <t>1. Enter a new password of min length
2. Save
3. Log out
4. Log in with new password</t>
  </si>
  <si>
    <t>Login succeeds with the new password.</t>
  </si>
  <si>
    <t>TC-PRO-009</t>
  </si>
  <si>
    <t>Password validation — too short</t>
  </si>
  <si>
    <t>1. Enter a password shorter than the minimum length
2. Attempt to save</t>
  </si>
  <si>
    <t>Inline validation error is shown; request is not sent.</t>
  </si>
  <si>
    <t>TC-PRO-010</t>
  </si>
  <si>
    <t>Email validation — invalid format</t>
  </si>
  <si>
    <t>1. Enter 'abc' in the email field
2. Attempt to save</t>
  </si>
  <si>
    <t>Email format error is shown; request is not sent.</t>
  </si>
  <si>
    <t>TC-PRO-011</t>
  </si>
  <si>
    <t>Reset button reverts unsaved edits</t>
  </si>
  <si>
    <t>Form has been edited but not saved.</t>
  </si>
  <si>
    <t>1. Change name and email
2. Click Reset</t>
  </si>
  <si>
    <t>Fields revert to the current user's values and Save Changes becomes disabled.</t>
  </si>
  <si>
    <t>TC-PRO-012</t>
  </si>
  <si>
    <t>Server reject (duplicate email) surfaces an error</t>
  </si>
  <si>
    <t>Another account already uses the target email.</t>
  </si>
  <si>
    <t>1. Change email to a duplicate
2. Save</t>
  </si>
  <si>
    <t>API returns an error; UI shows an error toast and keeps form state.</t>
  </si>
  <si>
    <t>TC_Navigation — Sidebar, NavUser, Server Role Resolution</t>
  </si>
  <si>
    <t>TC-NAV-001</t>
  </si>
  <si>
    <t>Sidebar renders with correct items for superuser</t>
  </si>
  <si>
    <t>Navigation</t>
  </si>
  <si>
    <t>1. Load /dashboard
2. Inspect sidebar</t>
  </si>
  <si>
    <t>Items include Dashboard, User Management, Device Management, User Activity.</t>
  </si>
  <si>
    <t>TC-NAV-002</t>
  </si>
  <si>
    <t>Sidebar hides User Activity for admin</t>
  </si>
  <si>
    <t>User Activity item is absent; other admin-allowed items remain.</t>
  </si>
  <si>
    <t>TC-NAV-003</t>
  </si>
  <si>
    <t>Sidebar collapses and expands</t>
  </si>
  <si>
    <t>Sidebar is expanded.</t>
  </si>
  <si>
    <t>1. Click the SidebarTrigger in the header</t>
  </si>
  <si>
    <t>Sidebar collapses to the icon-only variant and re-expands on next click.</t>
  </si>
  <si>
    <t>TC-NAV-004</t>
  </si>
  <si>
    <t>NavUser dropdown shows Profile and Log out only</t>
  </si>
  <si>
    <t>1. Click the NavUser button at the bottom of the sidebar</t>
  </si>
  <si>
    <t>Dropdown shows the user header, a 'Profile' item, and a destructive 'Log out' item.</t>
  </si>
  <si>
    <t>TC-NAV-005</t>
  </si>
  <si>
    <t>NavUser — Profile navigates to /dashboard/profile</t>
  </si>
  <si>
    <t>NavUser dropdown open.</t>
  </si>
  <si>
    <t>1. Click 'Profile'</t>
  </si>
  <si>
    <t>Router pushes /dashboard/profile and the form loads.</t>
  </si>
  <si>
    <t>TC-NAV-006</t>
  </si>
  <si>
    <t>NavUser — Log out clears session</t>
  </si>
  <si>
    <t>1. Click 'Log out' in the NavUser dropdown</t>
  </si>
  <si>
    <t>Zustand user is reset, auth cookie is cleared, and user is returned to /.</t>
  </si>
  <si>
    <t>TC-NAV-007</t>
  </si>
  <si>
    <t>Direct navigation to /dashboard/device-management</t>
  </si>
  <si>
    <t>1. Type the URL and press Enter</t>
  </si>
  <si>
    <t>Page loads without redirect; sidebar highlights the Device Management item.</t>
  </si>
  <si>
    <t>TC-NAV-008</t>
  </si>
  <si>
    <t>Server-side role resolution prevents flicker</t>
  </si>
  <si>
    <t>1. Hard-refresh any /dashboard page</t>
  </si>
  <si>
    <t>Sidebar items render in final form on first paint (no mid-render change once zustand hydrates).</t>
  </si>
  <si>
    <t>TC-NAV-009</t>
  </si>
  <si>
    <t>Unauthorized deep link redirects to /</t>
  </si>
  <si>
    <t>auth-token cookie is cleared.</t>
  </si>
  <si>
    <t>1. Navigate directly to /dashboard/user-management</t>
  </si>
  <si>
    <t>getServerUser returns null and the page is redirected to /.</t>
  </si>
  <si>
    <t>TC-NAV-010</t>
  </si>
  <si>
    <t>Avatar initials are derived from the user's name</t>
  </si>
  <si>
    <t>User has a multi-word name.</t>
  </si>
  <si>
    <t>1. Inspect avatar fallback in NavUser and Profile</t>
  </si>
  <si>
    <t>Shows the first letter of the first two words in upper case.</t>
  </si>
  <si>
    <t>TC_API — Proxy, Auth Cookies, React Query</t>
  </si>
  <si>
    <t>TC-API-001</t>
  </si>
  <si>
    <t>Proxy forwards GET /admin/users/</t>
  </si>
  <si>
    <t>API &amp; Proxy</t>
  </si>
  <si>
    <t>Logged in (cookie present).</t>
  </si>
  <si>
    <t>1. Trigger any action that calls GET /admin/users/
2. Inspect Network tab</t>
  </si>
  <si>
    <t>Request goes to /api/proxy/admin/users/ and returns 200 with a user list.</t>
  </si>
  <si>
    <t>TC-API-002</t>
  </si>
  <si>
    <t>Proxy preserves Authorization across 307 redirect</t>
  </si>
  <si>
    <t>Backend redirects missing trailing slash (or vice versa) with 307.</t>
  </si>
  <si>
    <t>1. Call an endpoint that hits a 307 from FastAPI
2. Watch the response</t>
  </si>
  <si>
    <t>Proxy manually follows the redirect with headers intact; final response is 200 (not 401).</t>
  </si>
  <si>
    <t>TC-API-003</t>
  </si>
  <si>
    <t>Proxy strips accept-encoding upstream</t>
  </si>
  <si>
    <t>Any authenticated request.</t>
  </si>
  <si>
    <t>1. Make a request via the proxy
2. Inspect upstream headers (if observable)</t>
  </si>
  <si>
    <t>Upstream request does not include accept-encoding; downstream content-encoding is stripped from response.</t>
  </si>
  <si>
    <t>TC-API-004</t>
  </si>
  <si>
    <t>401 from backend forces redirect to /</t>
  </si>
  <si>
    <t>Cookie token is invalid/expired.</t>
  </si>
  <si>
    <t>1. Trigger any authenticated call</t>
  </si>
  <si>
    <t>Response is 401 and the axios interceptor redirects the browser to /.</t>
  </si>
  <si>
    <t>TC-API-005</t>
  </si>
  <si>
    <t>Cookie is HTTP-only-style cookie (SameSite=Lax, max-age 7d)</t>
  </si>
  <si>
    <t>Just logged in.</t>
  </si>
  <si>
    <t>1. Inspect cookies in DevTools</t>
  </si>
  <si>
    <t>auth-token cookie is present with SameSite=Lax and ~7-day expiry.</t>
  </si>
  <si>
    <t>TC-API-006</t>
  </si>
  <si>
    <t>Logout clears the auth-token cookie</t>
  </si>
  <si>
    <t>1. Click Log out
2. Inspect cookies</t>
  </si>
  <si>
    <t>auth-token cookie is removed; subsequent protected fetches fail with 401.</t>
  </si>
  <si>
    <t>TC-API-007</t>
  </si>
  <si>
    <t>getServerUser returns the current user from /auth/me</t>
  </si>
  <si>
    <t>1. Load any /dashboard page (server component)
2. Inspect network (server logs)</t>
  </si>
  <si>
    <t>Server calls /auth/me with the bearer token and returns the user object to the component.</t>
  </si>
  <si>
    <t>TC-API-008</t>
  </si>
  <si>
    <t>Proxy path rewrite — /api/proxy/admin/activity-logs/</t>
  </si>
  <si>
    <t>1. Open /dashboard/user-activity
2. Observe network requests</t>
  </si>
  <si>
    <t>Calls hit /api/proxy/admin/activity-logs/ and /api/proxy/admin/activity-logs/count successfully.</t>
  </si>
  <si>
    <t>TC-API-009</t>
  </si>
  <si>
    <t>React Query caches and invalidates on mutation</t>
  </si>
  <si>
    <t>Logged in with devices in the list.</t>
  </si>
  <si>
    <t>1. Edit a device
2. Observe Device Management after save</t>
  </si>
  <si>
    <t>Mutation invalidates the devices query; list refetches and reflects the new state.</t>
  </si>
  <si>
    <t>TC-API-010</t>
  </si>
  <si>
    <t>Backend validation errors are surfaced to the UI</t>
  </si>
  <si>
    <t>Triggering a known validation failure (e.g., duplicate email).</t>
  </si>
  <si>
    <t>1. Trigger the request
2. Observe the UI</t>
  </si>
  <si>
    <t>Error message from the backend is shown via toast or inline error.</t>
  </si>
  <si>
    <t xml:space="preserve">account </t>
  </si>
  <si>
    <t>type</t>
  </si>
  <si>
    <t>password</t>
  </si>
  <si>
    <t>string@gmail.com</t>
  </si>
  <si>
    <t>superuser</t>
  </si>
  <si>
    <t>string</t>
  </si>
  <si>
    <t>tiar@gmail.com</t>
  </si>
  <si>
    <t>user</t>
  </si>
  <si>
    <t>password24</t>
  </si>
  <si>
    <t>bahtiar@gmail.com</t>
  </si>
  <si>
    <t>admin</t>
  </si>
  <si>
    <t>bahtiar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</si>
</sst>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22"/>
      <color rgb="FF1F4E78"/>
      <name val="Arial"/>
      <family val="2"/>
    </font>
    <font>
      <i/>
      <sz val="13"/>
      <color rgb="FF404040"/>
      <name val="Arial"/>
      <family val="2"/>
    </font>
    <font>
      <b/>
      <sz val="12"/>
      <color rgb="FFFFFFFF"/>
      <name val="Arial"/>
      <family val="2"/>
    </font>
    <font>
      <b/>
      <sz val="11"/>
      <color rgb="FF404040"/>
      <name val="Arial"/>
      <family val="2"/>
    </font>
    <font>
      <sz val="11"/>
      <color rgb="FF1F1F1F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  <font>
      <b/>
      <sz val="11"/>
      <color rgb="FF9C5700"/>
      <name val="Arial"/>
      <family val="2"/>
    </font>
    <font>
      <b/>
      <sz val="11"/>
      <color rgb="FF595959"/>
      <name val="Arial"/>
      <family val="2"/>
    </font>
    <font>
      <b/>
      <sz val="16"/>
      <color rgb="FFFFFFF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F1FA"/>
      </patternFill>
    </fill>
    <fill>
      <patternFill patternType="solid">
        <fgColor rgb="FF1F4E78"/>
      </patternFill>
    </fill>
    <fill>
      <patternFill patternType="solid">
        <fgColor rgb="FFF2F6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7E6E6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2">
    <xf numFmtId="0" fontId="0" fillId="0" borderId="0" xfId="0"/>
    <xf numFmtId="0" fontId="7" fillId="4" borderId="2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1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indent="1"/>
    </xf>
    <xf numFmtId="0" fontId="14" fillId="4" borderId="2" xfId="0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6" fillId="3" borderId="0" xfId="0" applyFont="1" applyFill="1" applyAlignment="1">
      <alignment horizontal="left" vertical="center" indent="1"/>
    </xf>
    <xf numFmtId="0" fontId="5" fillId="0" borderId="0" xfId="0" applyFont="1"/>
    <xf numFmtId="0" fontId="14" fillId="0" borderId="2" xfId="0" applyFont="1" applyBorder="1" applyAlignment="1">
      <alignment horizontal="left" vertical="center" wrapText="1" indent="1"/>
    </xf>
    <xf numFmtId="0" fontId="13" fillId="3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5" fillId="0" borderId="0" xfId="1"/>
  </cellXfs>
  <cellStyles count="2">
    <cellStyle name="Hyperlink" xfId="1" builtinId="8"/>
    <cellStyle name="Normal" xfId="0" builtinId="0"/>
  </cellStyles>
  <dxfs count="56"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  <dxf>
      <font>
        <i/>
        <sz val="10"/>
        <color rgb="FF595959"/>
        <name val="Arial"/>
      </font>
      <fill>
        <patternFill patternType="solid">
          <fgColor rgb="FFE7E6E6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sz val="10"/>
        <name val="Arial"/>
      </font>
      <fill>
        <patternFill patternType="solid">
          <fgColor rgb="FFD9E1F2"/>
        </patternFill>
      </fill>
    </dxf>
    <dxf>
      <font>
        <b/>
        <sz val="10"/>
        <name val="Arial"/>
      </font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7B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tiar@gmail.com" TargetMode="External"/><Relationship Id="rId1" Type="http://schemas.openxmlformats.org/officeDocument/2006/relationships/hyperlink" Target="mailto:str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70" customWidth="1"/>
  </cols>
  <sheetData>
    <row r="2" spans="2:3" ht="34" customHeight="1" x14ac:dyDescent="0.2">
      <c r="B2" s="24" t="s">
        <v>0</v>
      </c>
      <c r="C2" s="25"/>
    </row>
    <row r="3" spans="2:3" ht="22" customHeight="1" x14ac:dyDescent="0.2">
      <c r="B3" s="27" t="s">
        <v>1</v>
      </c>
      <c r="C3" s="25"/>
    </row>
    <row r="5" spans="2:3" ht="22" customHeight="1" x14ac:dyDescent="0.2">
      <c r="B5" s="26" t="s">
        <v>2</v>
      </c>
      <c r="C5" s="25"/>
    </row>
    <row r="6" spans="2:3" x14ac:dyDescent="0.2">
      <c r="B6" s="1" t="s">
        <v>3</v>
      </c>
      <c r="C6" s="2" t="s">
        <v>0</v>
      </c>
    </row>
    <row r="7" spans="2:3" x14ac:dyDescent="0.2">
      <c r="B7" s="1" t="s">
        <v>4</v>
      </c>
      <c r="C7" s="2" t="s">
        <v>5</v>
      </c>
    </row>
    <row r="8" spans="2:3" x14ac:dyDescent="0.2">
      <c r="B8" s="1" t="s">
        <v>6</v>
      </c>
      <c r="C8" s="2" t="s">
        <v>7</v>
      </c>
    </row>
    <row r="9" spans="2:3" x14ac:dyDescent="0.2">
      <c r="B9" s="1" t="s">
        <v>8</v>
      </c>
      <c r="C9" s="2" t="s">
        <v>9</v>
      </c>
    </row>
    <row r="10" spans="2:3" x14ac:dyDescent="0.2">
      <c r="B10" s="1" t="s">
        <v>10</v>
      </c>
      <c r="C10" s="2" t="s">
        <v>11</v>
      </c>
    </row>
    <row r="11" spans="2:3" x14ac:dyDescent="0.2">
      <c r="B11" s="1" t="s">
        <v>12</v>
      </c>
      <c r="C11" s="2" t="s">
        <v>13</v>
      </c>
    </row>
    <row r="12" spans="2:3" x14ac:dyDescent="0.2">
      <c r="B12" s="1" t="s">
        <v>14</v>
      </c>
      <c r="C12" s="2" t="s">
        <v>15</v>
      </c>
    </row>
    <row r="13" spans="2:3" x14ac:dyDescent="0.2">
      <c r="B13" s="1" t="s">
        <v>16</v>
      </c>
      <c r="C13" s="2" t="s">
        <v>17</v>
      </c>
    </row>
    <row r="15" spans="2:3" ht="22" customHeight="1" x14ac:dyDescent="0.2">
      <c r="B15" s="26" t="s">
        <v>18</v>
      </c>
      <c r="C15" s="25"/>
    </row>
    <row r="16" spans="2:3" x14ac:dyDescent="0.2">
      <c r="B16" s="1" t="s">
        <v>19</v>
      </c>
      <c r="C16" s="2" t="s">
        <v>20</v>
      </c>
    </row>
    <row r="17" spans="2:3" x14ac:dyDescent="0.2">
      <c r="B17" s="1" t="s">
        <v>21</v>
      </c>
      <c r="C17" s="2" t="s">
        <v>22</v>
      </c>
    </row>
    <row r="18" spans="2:3" x14ac:dyDescent="0.2">
      <c r="B18" s="1" t="s">
        <v>23</v>
      </c>
      <c r="C18" s="2" t="s">
        <v>24</v>
      </c>
    </row>
    <row r="19" spans="2:3" x14ac:dyDescent="0.2">
      <c r="B19" s="1" t="s">
        <v>25</v>
      </c>
      <c r="C19" s="2" t="s">
        <v>26</v>
      </c>
    </row>
    <row r="20" spans="2:3" x14ac:dyDescent="0.2">
      <c r="B20" s="1" t="s">
        <v>27</v>
      </c>
      <c r="C20" s="2" t="s">
        <v>28</v>
      </c>
    </row>
    <row r="21" spans="2:3" x14ac:dyDescent="0.2">
      <c r="B21" s="1" t="s">
        <v>29</v>
      </c>
      <c r="C21" s="2" t="s">
        <v>30</v>
      </c>
    </row>
    <row r="22" spans="2:3" x14ac:dyDescent="0.2">
      <c r="B22" s="1" t="s">
        <v>31</v>
      </c>
      <c r="C22" s="2" t="s">
        <v>32</v>
      </c>
    </row>
    <row r="23" spans="2:3" x14ac:dyDescent="0.2">
      <c r="B23" s="1" t="s">
        <v>33</v>
      </c>
      <c r="C23" s="2" t="s">
        <v>34</v>
      </c>
    </row>
    <row r="25" spans="2:3" ht="22" customHeight="1" x14ac:dyDescent="0.2">
      <c r="B25" s="26" t="s">
        <v>35</v>
      </c>
      <c r="C25" s="25"/>
    </row>
    <row r="26" spans="2:3" x14ac:dyDescent="0.2">
      <c r="B26" s="1" t="s">
        <v>36</v>
      </c>
      <c r="C26" s="2" t="s">
        <v>37</v>
      </c>
    </row>
    <row r="27" spans="2:3" x14ac:dyDescent="0.2">
      <c r="B27" s="1" t="s">
        <v>38</v>
      </c>
      <c r="C27" s="2" t="s">
        <v>39</v>
      </c>
    </row>
    <row r="28" spans="2:3" x14ac:dyDescent="0.2">
      <c r="B28" s="1" t="s">
        <v>40</v>
      </c>
      <c r="C28" s="2" t="s">
        <v>41</v>
      </c>
    </row>
    <row r="29" spans="2:3" ht="30" x14ac:dyDescent="0.2">
      <c r="B29" s="1" t="s">
        <v>42</v>
      </c>
      <c r="C29" s="2" t="s">
        <v>43</v>
      </c>
    </row>
    <row r="31" spans="2:3" ht="22" customHeight="1" x14ac:dyDescent="0.2">
      <c r="B31" s="26" t="s">
        <v>44</v>
      </c>
      <c r="C31" s="25"/>
    </row>
    <row r="32" spans="2:3" x14ac:dyDescent="0.2">
      <c r="B32" s="3" t="s">
        <v>45</v>
      </c>
      <c r="C32" s="4" t="s">
        <v>46</v>
      </c>
    </row>
    <row r="33" spans="2:3" x14ac:dyDescent="0.2">
      <c r="B33" s="5" t="s">
        <v>47</v>
      </c>
      <c r="C33" s="4" t="s">
        <v>48</v>
      </c>
    </row>
    <row r="34" spans="2:3" x14ac:dyDescent="0.2">
      <c r="B34" s="6" t="s">
        <v>49</v>
      </c>
      <c r="C34" s="4" t="s">
        <v>50</v>
      </c>
    </row>
    <row r="35" spans="2:3" x14ac:dyDescent="0.2">
      <c r="B35" s="7" t="s">
        <v>51</v>
      </c>
      <c r="C35" s="4" t="s">
        <v>52</v>
      </c>
    </row>
  </sheetData>
  <mergeCells count="6">
    <mergeCell ref="B31:C31"/>
    <mergeCell ref="B2:C2"/>
    <mergeCell ref="B15:C15"/>
    <mergeCell ref="B25:C25"/>
    <mergeCell ref="B3:C3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4" customWidth="1"/>
    <col min="3" max="3" width="100" customWidth="1"/>
  </cols>
  <sheetData>
    <row r="2" spans="2:3" ht="28" customHeight="1" x14ac:dyDescent="0.2">
      <c r="B2" s="29" t="s">
        <v>53</v>
      </c>
      <c r="C2" s="25"/>
    </row>
    <row r="4" spans="2:3" ht="26" customHeight="1" x14ac:dyDescent="0.2">
      <c r="B4" s="8" t="s">
        <v>54</v>
      </c>
      <c r="C4" s="9" t="s">
        <v>55</v>
      </c>
    </row>
    <row r="5" spans="2:3" ht="26" customHeight="1" x14ac:dyDescent="0.2">
      <c r="B5" s="8" t="s">
        <v>56</v>
      </c>
      <c r="C5" s="9" t="s">
        <v>57</v>
      </c>
    </row>
    <row r="6" spans="2:3" ht="26" customHeight="1" x14ac:dyDescent="0.2">
      <c r="B6" s="8" t="s">
        <v>58</v>
      </c>
      <c r="C6" s="9" t="s">
        <v>59</v>
      </c>
    </row>
    <row r="7" spans="2:3" ht="26" customHeight="1" x14ac:dyDescent="0.2">
      <c r="B7" s="8" t="s">
        <v>60</v>
      </c>
      <c r="C7" s="9" t="s">
        <v>61</v>
      </c>
    </row>
    <row r="8" spans="2:3" ht="26" customHeight="1" x14ac:dyDescent="0.2">
      <c r="B8" s="8" t="s">
        <v>62</v>
      </c>
      <c r="C8" s="9" t="s">
        <v>63</v>
      </c>
    </row>
    <row r="9" spans="2:3" ht="26" customHeight="1" x14ac:dyDescent="0.2">
      <c r="B9" s="8" t="s">
        <v>64</v>
      </c>
      <c r="C9" s="9" t="s">
        <v>65</v>
      </c>
    </row>
    <row r="10" spans="2:3" ht="26" customHeight="1" x14ac:dyDescent="0.2">
      <c r="B10" s="8" t="s">
        <v>66</v>
      </c>
      <c r="C10" s="9" t="s">
        <v>67</v>
      </c>
    </row>
    <row r="12" spans="2:3" ht="22" customHeight="1" x14ac:dyDescent="0.2">
      <c r="B12" s="26" t="s">
        <v>68</v>
      </c>
      <c r="C12" s="25"/>
    </row>
    <row r="13" spans="2:3" ht="24" customHeight="1" x14ac:dyDescent="0.2">
      <c r="B13" s="28" t="s">
        <v>69</v>
      </c>
      <c r="C13" s="25"/>
    </row>
    <row r="14" spans="2:3" ht="24" customHeight="1" x14ac:dyDescent="0.2">
      <c r="B14" s="28" t="s">
        <v>70</v>
      </c>
      <c r="C14" s="25"/>
    </row>
    <row r="15" spans="2:3" ht="24" customHeight="1" x14ac:dyDescent="0.2">
      <c r="B15" s="28" t="s">
        <v>71</v>
      </c>
      <c r="C15" s="25"/>
    </row>
    <row r="16" spans="2:3" ht="24" customHeight="1" x14ac:dyDescent="0.2">
      <c r="B16" s="28" t="s">
        <v>72</v>
      </c>
      <c r="C16" s="25"/>
    </row>
    <row r="17" spans="2:3" ht="24" customHeight="1" x14ac:dyDescent="0.2">
      <c r="B17" s="28" t="s">
        <v>73</v>
      </c>
      <c r="C17" s="25"/>
    </row>
  </sheetData>
  <mergeCells count="7">
    <mergeCell ref="B17:C17"/>
    <mergeCell ref="B12:C12"/>
    <mergeCell ref="B13:C13"/>
    <mergeCell ref="B2:C2"/>
    <mergeCell ref="B16:C16"/>
    <mergeCell ref="B15:C15"/>
    <mergeCell ref="B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" customWidth="1"/>
    <col min="2" max="2" width="24" customWidth="1"/>
    <col min="3" max="9" width="13" customWidth="1"/>
  </cols>
  <sheetData>
    <row r="2" spans="2:9" ht="28" customHeight="1" x14ac:dyDescent="0.2">
      <c r="B2" s="29" t="s">
        <v>74</v>
      </c>
      <c r="C2" s="25"/>
      <c r="D2" s="25"/>
      <c r="E2" s="25"/>
      <c r="F2" s="25"/>
      <c r="G2" s="25"/>
    </row>
    <row r="4" spans="2:9" ht="24" customHeight="1" x14ac:dyDescent="0.2">
      <c r="B4" s="8" t="s">
        <v>75</v>
      </c>
      <c r="C4" s="8" t="s">
        <v>76</v>
      </c>
      <c r="D4" s="8" t="s">
        <v>45</v>
      </c>
      <c r="E4" s="8" t="s">
        <v>47</v>
      </c>
      <c r="F4" s="8" t="s">
        <v>49</v>
      </c>
      <c r="G4" s="8" t="s">
        <v>51</v>
      </c>
      <c r="H4" s="8" t="s">
        <v>77</v>
      </c>
      <c r="I4" s="8" t="s">
        <v>78</v>
      </c>
    </row>
    <row r="5" spans="2:9" ht="22" customHeight="1" x14ac:dyDescent="0.2">
      <c r="B5" s="10" t="s">
        <v>19</v>
      </c>
      <c r="C5" s="11">
        <f>COUNTA(TC_Authentication!B3:B200)</f>
        <v>15</v>
      </c>
      <c r="D5" s="11">
        <f>COUNTIF(TC_Authentication!I3:I200,"Pass")</f>
        <v>0</v>
      </c>
      <c r="E5" s="11">
        <f>COUNTIF(TC_Authentication!I3:I200,"Fail")</f>
        <v>0</v>
      </c>
      <c r="F5" s="11">
        <f>COUNTIF(TC_Authentication!I3:I200,"Blocked")</f>
        <v>0</v>
      </c>
      <c r="G5" s="11">
        <f>COUNTIF(TC_Authentication!I3:I200,"Not Tested")</f>
        <v>15</v>
      </c>
      <c r="H5" s="12">
        <f t="shared" ref="H5:H13" si="0">IFERROR(D5/C5,0)</f>
        <v>0</v>
      </c>
      <c r="I5" s="12">
        <f t="shared" ref="I5:I13" si="1">IFERROR((D5+E5+F5)/C5,0)</f>
        <v>0</v>
      </c>
    </row>
    <row r="6" spans="2:9" ht="22" customHeight="1" x14ac:dyDescent="0.2">
      <c r="B6" s="13" t="s">
        <v>21</v>
      </c>
      <c r="C6" s="14">
        <f>COUNTA(TC_Dashboard!B3:B200)</f>
        <v>10</v>
      </c>
      <c r="D6" s="14">
        <f>COUNTIF(TC_Dashboard!I3:I200,"Pass")</f>
        <v>0</v>
      </c>
      <c r="E6" s="14">
        <f>COUNTIF(TC_Dashboard!I3:I200,"Fail")</f>
        <v>0</v>
      </c>
      <c r="F6" s="14">
        <f>COUNTIF(TC_Dashboard!I3:I200,"Blocked")</f>
        <v>0</v>
      </c>
      <c r="G6" s="14">
        <f>COUNTIF(TC_Dashboard!I3:I200,"Not Tested")</f>
        <v>10</v>
      </c>
      <c r="H6" s="15">
        <f t="shared" si="0"/>
        <v>0</v>
      </c>
      <c r="I6" s="15">
        <f t="shared" si="1"/>
        <v>0</v>
      </c>
    </row>
    <row r="7" spans="2:9" ht="22" customHeight="1" x14ac:dyDescent="0.2">
      <c r="B7" s="10" t="s">
        <v>23</v>
      </c>
      <c r="C7" s="11">
        <f>COUNTA(TC_Device_Mgmt!B3:B200)</f>
        <v>15</v>
      </c>
      <c r="D7" s="11">
        <f>COUNTIF(TC_Device_Mgmt!I3:I200,"Pass")</f>
        <v>0</v>
      </c>
      <c r="E7" s="11">
        <f>COUNTIF(TC_Device_Mgmt!I3:I200,"Fail")</f>
        <v>0</v>
      </c>
      <c r="F7" s="11">
        <f>COUNTIF(TC_Device_Mgmt!I3:I200,"Blocked")</f>
        <v>0</v>
      </c>
      <c r="G7" s="11">
        <f>COUNTIF(TC_Device_Mgmt!I3:I200,"Not Tested")</f>
        <v>15</v>
      </c>
      <c r="H7" s="12">
        <f t="shared" si="0"/>
        <v>0</v>
      </c>
      <c r="I7" s="12">
        <f t="shared" si="1"/>
        <v>0</v>
      </c>
    </row>
    <row r="8" spans="2:9" ht="22" customHeight="1" x14ac:dyDescent="0.2">
      <c r="B8" s="13" t="s">
        <v>25</v>
      </c>
      <c r="C8" s="14">
        <f>COUNTA(TC_User_Mgmt!B3:B200)</f>
        <v>13</v>
      </c>
      <c r="D8" s="14">
        <f>COUNTIF(TC_User_Mgmt!I3:I200,"Pass")</f>
        <v>0</v>
      </c>
      <c r="E8" s="14">
        <f>COUNTIF(TC_User_Mgmt!I3:I200,"Fail")</f>
        <v>0</v>
      </c>
      <c r="F8" s="14">
        <f>COUNTIF(TC_User_Mgmt!I3:I200,"Blocked")</f>
        <v>0</v>
      </c>
      <c r="G8" s="14">
        <f>COUNTIF(TC_User_Mgmt!I3:I200,"Not Tested")</f>
        <v>13</v>
      </c>
      <c r="H8" s="15">
        <f t="shared" si="0"/>
        <v>0</v>
      </c>
      <c r="I8" s="15">
        <f t="shared" si="1"/>
        <v>0</v>
      </c>
    </row>
    <row r="9" spans="2:9" ht="22" customHeight="1" x14ac:dyDescent="0.2">
      <c r="B9" s="10" t="s">
        <v>27</v>
      </c>
      <c r="C9" s="11">
        <f>COUNTA(TC_Activity!B3:B200)</f>
        <v>12</v>
      </c>
      <c r="D9" s="11">
        <f>COUNTIF(TC_Activity!I3:I200,"Pass")</f>
        <v>0</v>
      </c>
      <c r="E9" s="11">
        <f>COUNTIF(TC_Activity!I3:I200,"Fail")</f>
        <v>0</v>
      </c>
      <c r="F9" s="11">
        <f>COUNTIF(TC_Activity!I3:I200,"Blocked")</f>
        <v>0</v>
      </c>
      <c r="G9" s="11">
        <f>COUNTIF(TC_Activity!I3:I200,"Not Tested")</f>
        <v>12</v>
      </c>
      <c r="H9" s="12">
        <f t="shared" si="0"/>
        <v>0</v>
      </c>
      <c r="I9" s="12">
        <f t="shared" si="1"/>
        <v>0</v>
      </c>
    </row>
    <row r="10" spans="2:9" ht="22" customHeight="1" x14ac:dyDescent="0.2">
      <c r="B10" s="13" t="s">
        <v>29</v>
      </c>
      <c r="C10" s="14">
        <f>COUNTA(TC_Profile!B3:B200)</f>
        <v>12</v>
      </c>
      <c r="D10" s="14">
        <f>COUNTIF(TC_Profile!I3:I200,"Pass")</f>
        <v>0</v>
      </c>
      <c r="E10" s="14">
        <f>COUNTIF(TC_Profile!I3:I200,"Fail")</f>
        <v>0</v>
      </c>
      <c r="F10" s="14">
        <f>COUNTIF(TC_Profile!I3:I200,"Blocked")</f>
        <v>0</v>
      </c>
      <c r="G10" s="14">
        <f>COUNTIF(TC_Profile!I3:I200,"Not Tested")</f>
        <v>12</v>
      </c>
      <c r="H10" s="15">
        <f t="shared" si="0"/>
        <v>0</v>
      </c>
      <c r="I10" s="15">
        <f t="shared" si="1"/>
        <v>0</v>
      </c>
    </row>
    <row r="11" spans="2:9" ht="22" customHeight="1" x14ac:dyDescent="0.2">
      <c r="B11" s="10" t="s">
        <v>31</v>
      </c>
      <c r="C11" s="11">
        <f>COUNTA(TC_Navigation!B3:B200)</f>
        <v>10</v>
      </c>
      <c r="D11" s="11">
        <f>COUNTIF(TC_Navigation!I3:I200,"Pass")</f>
        <v>0</v>
      </c>
      <c r="E11" s="11">
        <f>COUNTIF(TC_Navigation!I3:I200,"Fail")</f>
        <v>0</v>
      </c>
      <c r="F11" s="11">
        <f>COUNTIF(TC_Navigation!I3:I200,"Blocked")</f>
        <v>0</v>
      </c>
      <c r="G11" s="11">
        <f>COUNTIF(TC_Navigation!I3:I200,"Not Tested")</f>
        <v>10</v>
      </c>
      <c r="H11" s="12">
        <f t="shared" si="0"/>
        <v>0</v>
      </c>
      <c r="I11" s="12">
        <f t="shared" si="1"/>
        <v>0</v>
      </c>
    </row>
    <row r="12" spans="2:9" ht="22" customHeight="1" x14ac:dyDescent="0.2">
      <c r="B12" s="13" t="s">
        <v>33</v>
      </c>
      <c r="C12" s="14">
        <f>COUNTA(TC_API!B3:B200)</f>
        <v>10</v>
      </c>
      <c r="D12" s="14">
        <f>COUNTIF(TC_API!I3:I200,"Pass")</f>
        <v>0</v>
      </c>
      <c r="E12" s="14">
        <f>COUNTIF(TC_API!I3:I200,"Fail")</f>
        <v>0</v>
      </c>
      <c r="F12" s="14">
        <f>COUNTIF(TC_API!I3:I200,"Blocked")</f>
        <v>0</v>
      </c>
      <c r="G12" s="14">
        <f>COUNTIF(TC_API!I3:I200,"Not Tested")</f>
        <v>10</v>
      </c>
      <c r="H12" s="15">
        <f t="shared" si="0"/>
        <v>0</v>
      </c>
      <c r="I12" s="15">
        <f t="shared" si="1"/>
        <v>0</v>
      </c>
    </row>
    <row r="13" spans="2:9" ht="24" customHeight="1" x14ac:dyDescent="0.2">
      <c r="B13" s="16" t="s">
        <v>79</v>
      </c>
      <c r="C13" s="17">
        <f>SUM(C5:C12)</f>
        <v>97</v>
      </c>
      <c r="D13" s="17">
        <f>SUM(D5:D12)</f>
        <v>0</v>
      </c>
      <c r="E13" s="17">
        <f>SUM(E5:E12)</f>
        <v>0</v>
      </c>
      <c r="F13" s="17">
        <f>SUM(F5:F12)</f>
        <v>0</v>
      </c>
      <c r="G13" s="17">
        <f>SUM(G5:G12)</f>
        <v>97</v>
      </c>
      <c r="H13" s="18">
        <f t="shared" si="0"/>
        <v>0</v>
      </c>
      <c r="I13" s="18">
        <f t="shared" si="1"/>
        <v>0</v>
      </c>
    </row>
  </sheetData>
  <mergeCells count="1">
    <mergeCell ref="B2:G2"/>
  </mergeCells>
  <conditionalFormatting sqref="H5:H12">
    <cfRule type="dataBar" priority="1">
      <dataBar>
        <cfvo type="num" val="0"/>
        <cfvo type="num" val="1"/>
        <color rgb="FF63BE7B"/>
      </dataBar>
    </cfRule>
  </conditionalFormatting>
  <conditionalFormatting sqref="I5:I12">
    <cfRule type="dataBar" priority="2">
      <dataBar>
        <cfvo type="num" val="0"/>
        <cfvo type="num" val="1"/>
        <color rgb="FF2E75B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7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80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93</v>
      </c>
      <c r="C3" s="21" t="s">
        <v>94</v>
      </c>
      <c r="D3" s="21" t="s">
        <v>16</v>
      </c>
      <c r="E3" s="20" t="s">
        <v>95</v>
      </c>
      <c r="F3" s="21" t="s">
        <v>96</v>
      </c>
      <c r="G3" s="21" t="s">
        <v>97</v>
      </c>
      <c r="H3" s="21" t="s">
        <v>98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99</v>
      </c>
      <c r="C4" s="23" t="s">
        <v>100</v>
      </c>
      <c r="D4" s="23" t="s">
        <v>16</v>
      </c>
      <c r="E4" s="22" t="s">
        <v>95</v>
      </c>
      <c r="F4" s="23" t="s">
        <v>101</v>
      </c>
      <c r="G4" s="23" t="s">
        <v>102</v>
      </c>
      <c r="H4" s="23" t="s">
        <v>103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104</v>
      </c>
      <c r="C5" s="21" t="s">
        <v>105</v>
      </c>
      <c r="D5" s="21" t="s">
        <v>16</v>
      </c>
      <c r="E5" s="20" t="s">
        <v>95</v>
      </c>
      <c r="F5" s="21" t="s">
        <v>106</v>
      </c>
      <c r="G5" s="21" t="s">
        <v>107</v>
      </c>
      <c r="H5" s="21" t="s">
        <v>108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109</v>
      </c>
      <c r="C6" s="23" t="s">
        <v>110</v>
      </c>
      <c r="D6" s="23" t="s">
        <v>16</v>
      </c>
      <c r="E6" s="22" t="s">
        <v>95</v>
      </c>
      <c r="F6" s="23" t="s">
        <v>111</v>
      </c>
      <c r="G6" s="23" t="s">
        <v>112</v>
      </c>
      <c r="H6" s="23" t="s">
        <v>113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114</v>
      </c>
      <c r="C7" s="21" t="s">
        <v>115</v>
      </c>
      <c r="D7" s="21" t="s">
        <v>16</v>
      </c>
      <c r="E7" s="20" t="s">
        <v>95</v>
      </c>
      <c r="F7" s="21" t="s">
        <v>116</v>
      </c>
      <c r="G7" s="21" t="s">
        <v>117</v>
      </c>
      <c r="H7" s="21" t="s">
        <v>118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119</v>
      </c>
      <c r="C8" s="23" t="s">
        <v>120</v>
      </c>
      <c r="D8" s="23" t="s">
        <v>16</v>
      </c>
      <c r="E8" s="22" t="s">
        <v>121</v>
      </c>
      <c r="F8" s="23" t="s">
        <v>122</v>
      </c>
      <c r="G8" s="23" t="s">
        <v>123</v>
      </c>
      <c r="H8" s="23" t="s">
        <v>124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125</v>
      </c>
      <c r="C9" s="21" t="s">
        <v>126</v>
      </c>
      <c r="D9" s="21" t="s">
        <v>16</v>
      </c>
      <c r="E9" s="20" t="s">
        <v>121</v>
      </c>
      <c r="F9" s="21" t="s">
        <v>122</v>
      </c>
      <c r="G9" s="21" t="s">
        <v>127</v>
      </c>
      <c r="H9" s="21" t="s">
        <v>128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129</v>
      </c>
      <c r="C10" s="23" t="s">
        <v>130</v>
      </c>
      <c r="D10" s="23" t="s">
        <v>16</v>
      </c>
      <c r="E10" s="22" t="s">
        <v>121</v>
      </c>
      <c r="F10" s="23" t="s">
        <v>122</v>
      </c>
      <c r="G10" s="23" t="s">
        <v>131</v>
      </c>
      <c r="H10" s="23" t="s">
        <v>132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133</v>
      </c>
      <c r="C11" s="21" t="s">
        <v>134</v>
      </c>
      <c r="D11" s="21" t="s">
        <v>16</v>
      </c>
      <c r="E11" s="20" t="s">
        <v>95</v>
      </c>
      <c r="F11" s="21" t="s">
        <v>135</v>
      </c>
      <c r="G11" s="21" t="s">
        <v>136</v>
      </c>
      <c r="H11" s="21" t="s">
        <v>137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138</v>
      </c>
      <c r="C12" s="23" t="s">
        <v>139</v>
      </c>
      <c r="D12" s="23" t="s">
        <v>16</v>
      </c>
      <c r="E12" s="22" t="s">
        <v>121</v>
      </c>
      <c r="F12" s="23" t="s">
        <v>140</v>
      </c>
      <c r="G12" s="23" t="s">
        <v>141</v>
      </c>
      <c r="H12" s="23" t="s">
        <v>142</v>
      </c>
      <c r="I12" s="22" t="s">
        <v>51</v>
      </c>
      <c r="J12" s="23"/>
      <c r="K12" s="22"/>
      <c r="L12" s="22"/>
      <c r="M12" s="23"/>
    </row>
    <row r="13" spans="1:13" ht="60" customHeight="1" x14ac:dyDescent="0.2">
      <c r="A13" s="20">
        <v>11</v>
      </c>
      <c r="B13" s="20" t="s">
        <v>143</v>
      </c>
      <c r="C13" s="21" t="s">
        <v>144</v>
      </c>
      <c r="D13" s="21" t="s">
        <v>16</v>
      </c>
      <c r="E13" s="20" t="s">
        <v>121</v>
      </c>
      <c r="F13" s="21" t="s">
        <v>145</v>
      </c>
      <c r="G13" s="21" t="s">
        <v>146</v>
      </c>
      <c r="H13" s="21" t="s">
        <v>147</v>
      </c>
      <c r="I13" s="20" t="s">
        <v>51</v>
      </c>
      <c r="J13" s="21"/>
      <c r="K13" s="20"/>
      <c r="L13" s="20"/>
      <c r="M13" s="21"/>
    </row>
    <row r="14" spans="1:13" ht="60" customHeight="1" x14ac:dyDescent="0.2">
      <c r="A14" s="22">
        <v>12</v>
      </c>
      <c r="B14" s="22" t="s">
        <v>148</v>
      </c>
      <c r="C14" s="23" t="s">
        <v>149</v>
      </c>
      <c r="D14" s="23" t="s">
        <v>16</v>
      </c>
      <c r="E14" s="22" t="s">
        <v>95</v>
      </c>
      <c r="F14" s="23" t="s">
        <v>150</v>
      </c>
      <c r="G14" s="23" t="s">
        <v>151</v>
      </c>
      <c r="H14" s="23" t="s">
        <v>152</v>
      </c>
      <c r="I14" s="22" t="s">
        <v>51</v>
      </c>
      <c r="J14" s="23"/>
      <c r="K14" s="22"/>
      <c r="L14" s="22"/>
      <c r="M14" s="23"/>
    </row>
    <row r="15" spans="1:13" ht="60" customHeight="1" x14ac:dyDescent="0.2">
      <c r="A15" s="20">
        <v>13</v>
      </c>
      <c r="B15" s="20" t="s">
        <v>153</v>
      </c>
      <c r="C15" s="21" t="s">
        <v>154</v>
      </c>
      <c r="D15" s="21" t="s">
        <v>16</v>
      </c>
      <c r="E15" s="20" t="s">
        <v>95</v>
      </c>
      <c r="F15" s="21" t="s">
        <v>155</v>
      </c>
      <c r="G15" s="21" t="s">
        <v>156</v>
      </c>
      <c r="H15" s="21" t="s">
        <v>157</v>
      </c>
      <c r="I15" s="20" t="s">
        <v>51</v>
      </c>
      <c r="J15" s="21"/>
      <c r="K15" s="20"/>
      <c r="L15" s="20"/>
      <c r="M15" s="21"/>
    </row>
    <row r="16" spans="1:13" ht="60" customHeight="1" x14ac:dyDescent="0.2">
      <c r="A16" s="22">
        <v>14</v>
      </c>
      <c r="B16" s="22" t="s">
        <v>158</v>
      </c>
      <c r="C16" s="23" t="s">
        <v>159</v>
      </c>
      <c r="D16" s="23" t="s">
        <v>16</v>
      </c>
      <c r="E16" s="22" t="s">
        <v>95</v>
      </c>
      <c r="F16" s="23" t="s">
        <v>160</v>
      </c>
      <c r="G16" s="23" t="s">
        <v>161</v>
      </c>
      <c r="H16" s="23" t="s">
        <v>162</v>
      </c>
      <c r="I16" s="22" t="s">
        <v>51</v>
      </c>
      <c r="J16" s="23"/>
      <c r="K16" s="22"/>
      <c r="L16" s="22"/>
      <c r="M16" s="23"/>
    </row>
    <row r="17" spans="1:13" ht="60" customHeight="1" x14ac:dyDescent="0.2">
      <c r="A17" s="20">
        <v>15</v>
      </c>
      <c r="B17" s="20" t="s">
        <v>163</v>
      </c>
      <c r="C17" s="21" t="s">
        <v>164</v>
      </c>
      <c r="D17" s="21" t="s">
        <v>16</v>
      </c>
      <c r="E17" s="20" t="s">
        <v>95</v>
      </c>
      <c r="F17" s="21" t="s">
        <v>165</v>
      </c>
      <c r="G17" s="21" t="s">
        <v>166</v>
      </c>
      <c r="H17" s="21" t="s">
        <v>167</v>
      </c>
      <c r="I17" s="20" t="s">
        <v>51</v>
      </c>
      <c r="J17" s="21"/>
      <c r="K17" s="20"/>
      <c r="L17" s="20"/>
      <c r="M17" s="21"/>
    </row>
  </sheetData>
  <mergeCells count="1">
    <mergeCell ref="A1:M1"/>
  </mergeCells>
  <conditionalFormatting sqref="E3:E200">
    <cfRule type="cellIs" dxfId="55" priority="5" operator="equal">
      <formula>"High"</formula>
    </cfRule>
    <cfRule type="cellIs" dxfId="54" priority="6" operator="equal">
      <formula>"Medium"</formula>
    </cfRule>
    <cfRule type="cellIs" dxfId="53" priority="7" operator="equal">
      <formula>"Low"</formula>
    </cfRule>
  </conditionalFormatting>
  <conditionalFormatting sqref="I3:I200">
    <cfRule type="cellIs" dxfId="52" priority="1" operator="equal">
      <formula>"Pass"</formula>
    </cfRule>
    <cfRule type="cellIs" dxfId="51" priority="2" operator="equal">
      <formula>"Fail"</formula>
    </cfRule>
    <cfRule type="cellIs" dxfId="50" priority="3" operator="equal">
      <formula>"Blocked"</formula>
    </cfRule>
    <cfRule type="cellIs" dxfId="49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300-000000000000}">
      <formula1>"Pass,Fail,Blocked,Not Tested"</formula1>
    </dataValidation>
    <dataValidation type="list" allowBlank="1" promptTitle="Priority" prompt="High / Medium / Low" sqref="E3:E200" xr:uid="{00000000-0002-0000-03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2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168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169</v>
      </c>
      <c r="C3" s="21" t="s">
        <v>170</v>
      </c>
      <c r="D3" s="21" t="s">
        <v>171</v>
      </c>
      <c r="E3" s="20" t="s">
        <v>95</v>
      </c>
      <c r="F3" s="21" t="s">
        <v>172</v>
      </c>
      <c r="G3" s="21" t="s">
        <v>173</v>
      </c>
      <c r="H3" s="21" t="s">
        <v>174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175</v>
      </c>
      <c r="C4" s="23" t="s">
        <v>176</v>
      </c>
      <c r="D4" s="23" t="s">
        <v>171</v>
      </c>
      <c r="E4" s="22" t="s">
        <v>95</v>
      </c>
      <c r="F4" s="23" t="s">
        <v>177</v>
      </c>
      <c r="G4" s="23" t="s">
        <v>178</v>
      </c>
      <c r="H4" s="23" t="s">
        <v>179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180</v>
      </c>
      <c r="C5" s="21" t="s">
        <v>181</v>
      </c>
      <c r="D5" s="21" t="s">
        <v>171</v>
      </c>
      <c r="E5" s="20" t="s">
        <v>95</v>
      </c>
      <c r="F5" s="21" t="s">
        <v>182</v>
      </c>
      <c r="G5" s="21" t="s">
        <v>183</v>
      </c>
      <c r="H5" s="21" t="s">
        <v>184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185</v>
      </c>
      <c r="C6" s="23" t="s">
        <v>186</v>
      </c>
      <c r="D6" s="23" t="s">
        <v>171</v>
      </c>
      <c r="E6" s="22" t="s">
        <v>95</v>
      </c>
      <c r="F6" s="23" t="s">
        <v>187</v>
      </c>
      <c r="G6" s="23" t="s">
        <v>188</v>
      </c>
      <c r="H6" s="23" t="s">
        <v>189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190</v>
      </c>
      <c r="C7" s="21" t="s">
        <v>191</v>
      </c>
      <c r="D7" s="21" t="s">
        <v>171</v>
      </c>
      <c r="E7" s="20" t="s">
        <v>95</v>
      </c>
      <c r="F7" s="21" t="s">
        <v>192</v>
      </c>
      <c r="G7" s="21" t="s">
        <v>193</v>
      </c>
      <c r="H7" s="21" t="s">
        <v>194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195</v>
      </c>
      <c r="C8" s="23" t="s">
        <v>196</v>
      </c>
      <c r="D8" s="23" t="s">
        <v>171</v>
      </c>
      <c r="E8" s="22" t="s">
        <v>95</v>
      </c>
      <c r="F8" s="23" t="s">
        <v>197</v>
      </c>
      <c r="G8" s="23" t="s">
        <v>198</v>
      </c>
      <c r="H8" s="23" t="s">
        <v>199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200</v>
      </c>
      <c r="C9" s="21" t="s">
        <v>201</v>
      </c>
      <c r="D9" s="21" t="s">
        <v>171</v>
      </c>
      <c r="E9" s="20" t="s">
        <v>121</v>
      </c>
      <c r="F9" s="21" t="s">
        <v>202</v>
      </c>
      <c r="G9" s="21" t="s">
        <v>203</v>
      </c>
      <c r="H9" s="21" t="s">
        <v>204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205</v>
      </c>
      <c r="C10" s="23" t="s">
        <v>206</v>
      </c>
      <c r="D10" s="23" t="s">
        <v>171</v>
      </c>
      <c r="E10" s="22" t="s">
        <v>121</v>
      </c>
      <c r="F10" s="23" t="s">
        <v>207</v>
      </c>
      <c r="G10" s="23" t="s">
        <v>208</v>
      </c>
      <c r="H10" s="23" t="s">
        <v>209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210</v>
      </c>
      <c r="C11" s="21" t="s">
        <v>211</v>
      </c>
      <c r="D11" s="21" t="s">
        <v>171</v>
      </c>
      <c r="E11" s="20" t="s">
        <v>212</v>
      </c>
      <c r="F11" s="21" t="s">
        <v>213</v>
      </c>
      <c r="G11" s="21" t="s">
        <v>214</v>
      </c>
      <c r="H11" s="21" t="s">
        <v>215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216</v>
      </c>
      <c r="C12" s="23" t="s">
        <v>217</v>
      </c>
      <c r="D12" s="23" t="s">
        <v>171</v>
      </c>
      <c r="E12" s="22" t="s">
        <v>95</v>
      </c>
      <c r="F12" s="23" t="s">
        <v>218</v>
      </c>
      <c r="G12" s="23" t="s">
        <v>219</v>
      </c>
      <c r="H12" s="23" t="s">
        <v>220</v>
      </c>
      <c r="I12" s="22" t="s">
        <v>51</v>
      </c>
      <c r="J12" s="23"/>
      <c r="K12" s="22"/>
      <c r="L12" s="22"/>
      <c r="M12" s="23"/>
    </row>
  </sheetData>
  <mergeCells count="1">
    <mergeCell ref="A1:M1"/>
  </mergeCells>
  <conditionalFormatting sqref="E3:E200">
    <cfRule type="cellIs" dxfId="48" priority="5" operator="equal">
      <formula>"High"</formula>
    </cfRule>
    <cfRule type="cellIs" dxfId="47" priority="6" operator="equal">
      <formula>"Medium"</formula>
    </cfRule>
    <cfRule type="cellIs" dxfId="46" priority="7" operator="equal">
      <formula>"Low"</formula>
    </cfRule>
  </conditionalFormatting>
  <conditionalFormatting sqref="I3:I200">
    <cfRule type="cellIs" dxfId="45" priority="1" operator="equal">
      <formula>"Pass"</formula>
    </cfRule>
    <cfRule type="cellIs" dxfId="44" priority="2" operator="equal">
      <formula>"Fail"</formula>
    </cfRule>
    <cfRule type="cellIs" dxfId="43" priority="3" operator="equal">
      <formula>"Blocked"</formula>
    </cfRule>
    <cfRule type="cellIs" dxfId="42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400-000000000000}">
      <formula1>"Pass,Fail,Blocked,Not Tested"</formula1>
    </dataValidation>
    <dataValidation type="list" allowBlank="1" promptTitle="Priority" prompt="High / Medium / Low" sqref="E3:E200" xr:uid="{00000000-0002-0000-04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7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221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222</v>
      </c>
      <c r="C3" s="21" t="s">
        <v>223</v>
      </c>
      <c r="D3" s="21" t="s">
        <v>224</v>
      </c>
      <c r="E3" s="20" t="s">
        <v>95</v>
      </c>
      <c r="F3" s="21" t="s">
        <v>172</v>
      </c>
      <c r="G3" s="21" t="s">
        <v>225</v>
      </c>
      <c r="H3" s="21" t="s">
        <v>226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227</v>
      </c>
      <c r="C4" s="23" t="s">
        <v>228</v>
      </c>
      <c r="D4" s="23" t="s">
        <v>224</v>
      </c>
      <c r="E4" s="22" t="s">
        <v>95</v>
      </c>
      <c r="F4" s="23" t="s">
        <v>229</v>
      </c>
      <c r="G4" s="23" t="s">
        <v>230</v>
      </c>
      <c r="H4" s="23" t="s">
        <v>231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232</v>
      </c>
      <c r="C5" s="21" t="s">
        <v>233</v>
      </c>
      <c r="D5" s="21" t="s">
        <v>224</v>
      </c>
      <c r="E5" s="20" t="s">
        <v>95</v>
      </c>
      <c r="F5" s="21" t="s">
        <v>234</v>
      </c>
      <c r="G5" s="21" t="s">
        <v>235</v>
      </c>
      <c r="H5" s="21" t="s">
        <v>236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237</v>
      </c>
      <c r="C6" s="23" t="s">
        <v>238</v>
      </c>
      <c r="D6" s="23" t="s">
        <v>224</v>
      </c>
      <c r="E6" s="22" t="s">
        <v>95</v>
      </c>
      <c r="F6" s="23" t="s">
        <v>239</v>
      </c>
      <c r="G6" s="23" t="s">
        <v>240</v>
      </c>
      <c r="H6" s="23" t="s">
        <v>241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242</v>
      </c>
      <c r="C7" s="21" t="s">
        <v>243</v>
      </c>
      <c r="D7" s="21" t="s">
        <v>224</v>
      </c>
      <c r="E7" s="20" t="s">
        <v>121</v>
      </c>
      <c r="F7" s="21" t="s">
        <v>244</v>
      </c>
      <c r="G7" s="21" t="s">
        <v>245</v>
      </c>
      <c r="H7" s="21" t="s">
        <v>246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247</v>
      </c>
      <c r="C8" s="23" t="s">
        <v>248</v>
      </c>
      <c r="D8" s="23" t="s">
        <v>224</v>
      </c>
      <c r="E8" s="22" t="s">
        <v>95</v>
      </c>
      <c r="F8" s="23" t="s">
        <v>249</v>
      </c>
      <c r="G8" s="23" t="s">
        <v>250</v>
      </c>
      <c r="H8" s="23" t="s">
        <v>251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252</v>
      </c>
      <c r="C9" s="21" t="s">
        <v>253</v>
      </c>
      <c r="D9" s="21" t="s">
        <v>224</v>
      </c>
      <c r="E9" s="20" t="s">
        <v>121</v>
      </c>
      <c r="F9" s="21" t="s">
        <v>254</v>
      </c>
      <c r="G9" s="21" t="s">
        <v>255</v>
      </c>
      <c r="H9" s="21" t="s">
        <v>256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257</v>
      </c>
      <c r="C10" s="23" t="s">
        <v>258</v>
      </c>
      <c r="D10" s="23" t="s">
        <v>224</v>
      </c>
      <c r="E10" s="22" t="s">
        <v>95</v>
      </c>
      <c r="F10" s="23" t="s">
        <v>259</v>
      </c>
      <c r="G10" s="23" t="s">
        <v>260</v>
      </c>
      <c r="H10" s="23" t="s">
        <v>261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262</v>
      </c>
      <c r="C11" s="21" t="s">
        <v>263</v>
      </c>
      <c r="D11" s="21" t="s">
        <v>224</v>
      </c>
      <c r="E11" s="20" t="s">
        <v>95</v>
      </c>
      <c r="F11" s="21" t="s">
        <v>259</v>
      </c>
      <c r="G11" s="21" t="s">
        <v>264</v>
      </c>
      <c r="H11" s="21" t="s">
        <v>265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266</v>
      </c>
      <c r="C12" s="23" t="s">
        <v>267</v>
      </c>
      <c r="D12" s="23" t="s">
        <v>224</v>
      </c>
      <c r="E12" s="22" t="s">
        <v>121</v>
      </c>
      <c r="F12" s="23" t="s">
        <v>268</v>
      </c>
      <c r="G12" s="23" t="s">
        <v>269</v>
      </c>
      <c r="H12" s="23" t="s">
        <v>270</v>
      </c>
      <c r="I12" s="22" t="s">
        <v>51</v>
      </c>
      <c r="J12" s="23"/>
      <c r="K12" s="22"/>
      <c r="L12" s="22"/>
      <c r="M12" s="23"/>
    </row>
    <row r="13" spans="1:13" ht="60" customHeight="1" x14ac:dyDescent="0.2">
      <c r="A13" s="20">
        <v>11</v>
      </c>
      <c r="B13" s="20" t="s">
        <v>271</v>
      </c>
      <c r="C13" s="21" t="s">
        <v>272</v>
      </c>
      <c r="D13" s="21" t="s">
        <v>224</v>
      </c>
      <c r="E13" s="20" t="s">
        <v>95</v>
      </c>
      <c r="F13" s="21" t="s">
        <v>259</v>
      </c>
      <c r="G13" s="21" t="s">
        <v>273</v>
      </c>
      <c r="H13" s="21" t="s">
        <v>274</v>
      </c>
      <c r="I13" s="20" t="s">
        <v>51</v>
      </c>
      <c r="J13" s="21"/>
      <c r="K13" s="20"/>
      <c r="L13" s="20"/>
      <c r="M13" s="21"/>
    </row>
    <row r="14" spans="1:13" ht="60" customHeight="1" x14ac:dyDescent="0.2">
      <c r="A14" s="22">
        <v>12</v>
      </c>
      <c r="B14" s="22" t="s">
        <v>275</v>
      </c>
      <c r="C14" s="23" t="s">
        <v>276</v>
      </c>
      <c r="D14" s="23" t="s">
        <v>224</v>
      </c>
      <c r="E14" s="22" t="s">
        <v>212</v>
      </c>
      <c r="F14" s="23" t="s">
        <v>277</v>
      </c>
      <c r="G14" s="23" t="s">
        <v>278</v>
      </c>
      <c r="H14" s="23" t="s">
        <v>279</v>
      </c>
      <c r="I14" s="22" t="s">
        <v>51</v>
      </c>
      <c r="J14" s="23"/>
      <c r="K14" s="22"/>
      <c r="L14" s="22"/>
      <c r="M14" s="23"/>
    </row>
    <row r="15" spans="1:13" ht="60" customHeight="1" x14ac:dyDescent="0.2">
      <c r="A15" s="20">
        <v>13</v>
      </c>
      <c r="B15" s="20" t="s">
        <v>280</v>
      </c>
      <c r="C15" s="21" t="s">
        <v>281</v>
      </c>
      <c r="D15" s="21" t="s">
        <v>224</v>
      </c>
      <c r="E15" s="20" t="s">
        <v>121</v>
      </c>
      <c r="F15" s="21" t="s">
        <v>282</v>
      </c>
      <c r="G15" s="21" t="s">
        <v>283</v>
      </c>
      <c r="H15" s="21" t="s">
        <v>284</v>
      </c>
      <c r="I15" s="20" t="s">
        <v>51</v>
      </c>
      <c r="J15" s="21"/>
      <c r="K15" s="20"/>
      <c r="L15" s="20"/>
      <c r="M15" s="21"/>
    </row>
    <row r="16" spans="1:13" ht="60" customHeight="1" x14ac:dyDescent="0.2">
      <c r="A16" s="22">
        <v>14</v>
      </c>
      <c r="B16" s="22" t="s">
        <v>285</v>
      </c>
      <c r="C16" s="23" t="s">
        <v>286</v>
      </c>
      <c r="D16" s="23" t="s">
        <v>224</v>
      </c>
      <c r="E16" s="22" t="s">
        <v>212</v>
      </c>
      <c r="F16" s="23" t="s">
        <v>287</v>
      </c>
      <c r="G16" s="23" t="s">
        <v>288</v>
      </c>
      <c r="H16" s="23" t="s">
        <v>289</v>
      </c>
      <c r="I16" s="22" t="s">
        <v>51</v>
      </c>
      <c r="J16" s="23"/>
      <c r="K16" s="22"/>
      <c r="L16" s="22"/>
      <c r="M16" s="23"/>
    </row>
    <row r="17" spans="1:13" ht="60" customHeight="1" x14ac:dyDescent="0.2">
      <c r="A17" s="20">
        <v>15</v>
      </c>
      <c r="B17" s="20" t="s">
        <v>290</v>
      </c>
      <c r="C17" s="21" t="s">
        <v>291</v>
      </c>
      <c r="D17" s="21" t="s">
        <v>224</v>
      </c>
      <c r="E17" s="20" t="s">
        <v>121</v>
      </c>
      <c r="F17" s="21" t="s">
        <v>292</v>
      </c>
      <c r="G17" s="21" t="s">
        <v>293</v>
      </c>
      <c r="H17" s="21" t="s">
        <v>294</v>
      </c>
      <c r="I17" s="20" t="s">
        <v>51</v>
      </c>
      <c r="J17" s="21"/>
      <c r="K17" s="20"/>
      <c r="L17" s="20"/>
      <c r="M17" s="21"/>
    </row>
  </sheetData>
  <mergeCells count="1">
    <mergeCell ref="A1:M1"/>
  </mergeCells>
  <conditionalFormatting sqref="E3:E200">
    <cfRule type="cellIs" dxfId="41" priority="5" operator="equal">
      <formula>"High"</formula>
    </cfRule>
    <cfRule type="cellIs" dxfId="40" priority="6" operator="equal">
      <formula>"Medium"</formula>
    </cfRule>
    <cfRule type="cellIs" dxfId="39" priority="7" operator="equal">
      <formula>"Low"</formula>
    </cfRule>
  </conditionalFormatting>
  <conditionalFormatting sqref="I3:I200">
    <cfRule type="cellIs" dxfId="38" priority="1" operator="equal">
      <formula>"Pass"</formula>
    </cfRule>
    <cfRule type="cellIs" dxfId="37" priority="2" operator="equal">
      <formula>"Fail"</formula>
    </cfRule>
    <cfRule type="cellIs" dxfId="36" priority="3" operator="equal">
      <formula>"Blocked"</formula>
    </cfRule>
    <cfRule type="cellIs" dxfId="35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500-000000000000}">
      <formula1>"Pass,Fail,Blocked,Not Tested"</formula1>
    </dataValidation>
    <dataValidation type="list" allowBlank="1" promptTitle="Priority" prompt="High / Medium / Low" sqref="E3:E200" xr:uid="{00000000-0002-0000-05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5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295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296</v>
      </c>
      <c r="C3" s="21" t="s">
        <v>297</v>
      </c>
      <c r="D3" s="21" t="s">
        <v>298</v>
      </c>
      <c r="E3" s="20" t="s">
        <v>95</v>
      </c>
      <c r="F3" s="21" t="s">
        <v>172</v>
      </c>
      <c r="G3" s="21" t="s">
        <v>299</v>
      </c>
      <c r="H3" s="21" t="s">
        <v>300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301</v>
      </c>
      <c r="C4" s="23" t="s">
        <v>302</v>
      </c>
      <c r="D4" s="23" t="s">
        <v>298</v>
      </c>
      <c r="E4" s="22" t="s">
        <v>95</v>
      </c>
      <c r="F4" s="23" t="s">
        <v>303</v>
      </c>
      <c r="G4" s="23" t="s">
        <v>304</v>
      </c>
      <c r="H4" s="23" t="s">
        <v>305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306</v>
      </c>
      <c r="C5" s="21" t="s">
        <v>307</v>
      </c>
      <c r="D5" s="21" t="s">
        <v>298</v>
      </c>
      <c r="E5" s="20" t="s">
        <v>95</v>
      </c>
      <c r="F5" s="21" t="s">
        <v>308</v>
      </c>
      <c r="G5" s="21" t="s">
        <v>309</v>
      </c>
      <c r="H5" s="21" t="s">
        <v>310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311</v>
      </c>
      <c r="C6" s="23" t="s">
        <v>312</v>
      </c>
      <c r="D6" s="23" t="s">
        <v>298</v>
      </c>
      <c r="E6" s="22" t="s">
        <v>95</v>
      </c>
      <c r="F6" s="23" t="s">
        <v>313</v>
      </c>
      <c r="G6" s="23" t="s">
        <v>314</v>
      </c>
      <c r="H6" s="23" t="s">
        <v>315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316</v>
      </c>
      <c r="C7" s="21" t="s">
        <v>317</v>
      </c>
      <c r="D7" s="21" t="s">
        <v>298</v>
      </c>
      <c r="E7" s="20" t="s">
        <v>95</v>
      </c>
      <c r="F7" s="21" t="s">
        <v>313</v>
      </c>
      <c r="G7" s="21" t="s">
        <v>318</v>
      </c>
      <c r="H7" s="21" t="s">
        <v>319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320</v>
      </c>
      <c r="C8" s="23" t="s">
        <v>321</v>
      </c>
      <c r="D8" s="23" t="s">
        <v>298</v>
      </c>
      <c r="E8" s="22" t="s">
        <v>121</v>
      </c>
      <c r="F8" s="23" t="s">
        <v>313</v>
      </c>
      <c r="G8" s="23" t="s">
        <v>322</v>
      </c>
      <c r="H8" s="23" t="s">
        <v>323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324</v>
      </c>
      <c r="C9" s="21" t="s">
        <v>325</v>
      </c>
      <c r="D9" s="21" t="s">
        <v>298</v>
      </c>
      <c r="E9" s="20" t="s">
        <v>95</v>
      </c>
      <c r="F9" s="21" t="s">
        <v>326</v>
      </c>
      <c r="G9" s="21" t="s">
        <v>327</v>
      </c>
      <c r="H9" s="21" t="s">
        <v>328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329</v>
      </c>
      <c r="C10" s="23" t="s">
        <v>330</v>
      </c>
      <c r="D10" s="23" t="s">
        <v>298</v>
      </c>
      <c r="E10" s="22" t="s">
        <v>95</v>
      </c>
      <c r="F10" s="23" t="s">
        <v>218</v>
      </c>
      <c r="G10" s="23" t="s">
        <v>331</v>
      </c>
      <c r="H10" s="23" t="s">
        <v>332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333</v>
      </c>
      <c r="C11" s="21" t="s">
        <v>334</v>
      </c>
      <c r="D11" s="21" t="s">
        <v>298</v>
      </c>
      <c r="E11" s="20" t="s">
        <v>95</v>
      </c>
      <c r="F11" s="21" t="s">
        <v>335</v>
      </c>
      <c r="G11" s="21" t="s">
        <v>336</v>
      </c>
      <c r="H11" s="21" t="s">
        <v>337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338</v>
      </c>
      <c r="C12" s="23" t="s">
        <v>339</v>
      </c>
      <c r="D12" s="23" t="s">
        <v>298</v>
      </c>
      <c r="E12" s="22" t="s">
        <v>95</v>
      </c>
      <c r="F12" s="23" t="s">
        <v>340</v>
      </c>
      <c r="G12" s="23" t="s">
        <v>341</v>
      </c>
      <c r="H12" s="23" t="s">
        <v>342</v>
      </c>
      <c r="I12" s="22" t="s">
        <v>51</v>
      </c>
      <c r="J12" s="23"/>
      <c r="K12" s="22"/>
      <c r="L12" s="22"/>
      <c r="M12" s="23"/>
    </row>
    <row r="13" spans="1:13" ht="60" customHeight="1" x14ac:dyDescent="0.2">
      <c r="A13" s="20">
        <v>11</v>
      </c>
      <c r="B13" s="20" t="s">
        <v>343</v>
      </c>
      <c r="C13" s="21" t="s">
        <v>344</v>
      </c>
      <c r="D13" s="21" t="s">
        <v>298</v>
      </c>
      <c r="E13" s="20" t="s">
        <v>121</v>
      </c>
      <c r="F13" s="21" t="s">
        <v>345</v>
      </c>
      <c r="G13" s="21" t="s">
        <v>346</v>
      </c>
      <c r="H13" s="21" t="s">
        <v>347</v>
      </c>
      <c r="I13" s="20" t="s">
        <v>51</v>
      </c>
      <c r="J13" s="21"/>
      <c r="K13" s="20"/>
      <c r="L13" s="20"/>
      <c r="M13" s="21"/>
    </row>
    <row r="14" spans="1:13" ht="60" customHeight="1" x14ac:dyDescent="0.2">
      <c r="A14" s="22">
        <v>12</v>
      </c>
      <c r="B14" s="22" t="s">
        <v>348</v>
      </c>
      <c r="C14" s="23" t="s">
        <v>349</v>
      </c>
      <c r="D14" s="23" t="s">
        <v>298</v>
      </c>
      <c r="E14" s="22" t="s">
        <v>121</v>
      </c>
      <c r="F14" s="23" t="s">
        <v>350</v>
      </c>
      <c r="G14" s="23" t="s">
        <v>351</v>
      </c>
      <c r="H14" s="23" t="s">
        <v>352</v>
      </c>
      <c r="I14" s="22" t="s">
        <v>51</v>
      </c>
      <c r="J14" s="23"/>
      <c r="K14" s="22"/>
      <c r="L14" s="22"/>
      <c r="M14" s="23"/>
    </row>
    <row r="15" spans="1:13" ht="60" customHeight="1" x14ac:dyDescent="0.2">
      <c r="A15" s="20">
        <v>13</v>
      </c>
      <c r="B15" s="20" t="s">
        <v>353</v>
      </c>
      <c r="C15" s="21" t="s">
        <v>354</v>
      </c>
      <c r="D15" s="21" t="s">
        <v>298</v>
      </c>
      <c r="E15" s="20" t="s">
        <v>121</v>
      </c>
      <c r="F15" s="21" t="s">
        <v>355</v>
      </c>
      <c r="G15" s="21" t="s">
        <v>356</v>
      </c>
      <c r="H15" s="21" t="s">
        <v>357</v>
      </c>
      <c r="I15" s="20" t="s">
        <v>51</v>
      </c>
      <c r="J15" s="21"/>
      <c r="K15" s="20"/>
      <c r="L15" s="20"/>
      <c r="M15" s="21"/>
    </row>
  </sheetData>
  <mergeCells count="1">
    <mergeCell ref="A1:M1"/>
  </mergeCells>
  <conditionalFormatting sqref="E3:E200">
    <cfRule type="cellIs" dxfId="34" priority="5" operator="equal">
      <formula>"High"</formula>
    </cfRule>
    <cfRule type="cellIs" dxfId="33" priority="6" operator="equal">
      <formula>"Medium"</formula>
    </cfRule>
    <cfRule type="cellIs" dxfId="32" priority="7" operator="equal">
      <formula>"Low"</formula>
    </cfRule>
  </conditionalFormatting>
  <conditionalFormatting sqref="I3:I200">
    <cfRule type="cellIs" dxfId="31" priority="1" operator="equal">
      <formula>"Pass"</formula>
    </cfRule>
    <cfRule type="cellIs" dxfId="30" priority="2" operator="equal">
      <formula>"Fail"</formula>
    </cfRule>
    <cfRule type="cellIs" dxfId="29" priority="3" operator="equal">
      <formula>"Blocked"</formula>
    </cfRule>
    <cfRule type="cellIs" dxfId="28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600-000000000000}">
      <formula1>"Pass,Fail,Blocked,Not Tested"</formula1>
    </dataValidation>
    <dataValidation type="list" allowBlank="1" promptTitle="Priority" prompt="High / Medium / Low" sqref="E3:E200" xr:uid="{00000000-0002-0000-06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4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358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359</v>
      </c>
      <c r="C3" s="21" t="s">
        <v>360</v>
      </c>
      <c r="D3" s="21" t="s">
        <v>361</v>
      </c>
      <c r="E3" s="20" t="s">
        <v>95</v>
      </c>
      <c r="F3" s="21" t="s">
        <v>326</v>
      </c>
      <c r="G3" s="21" t="s">
        <v>362</v>
      </c>
      <c r="H3" s="21" t="s">
        <v>363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364</v>
      </c>
      <c r="C4" s="23" t="s">
        <v>365</v>
      </c>
      <c r="D4" s="23" t="s">
        <v>361</v>
      </c>
      <c r="E4" s="22" t="s">
        <v>95</v>
      </c>
      <c r="F4" s="23" t="s">
        <v>218</v>
      </c>
      <c r="G4" s="23" t="s">
        <v>366</v>
      </c>
      <c r="H4" s="23" t="s">
        <v>367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368</v>
      </c>
      <c r="C5" s="21" t="s">
        <v>369</v>
      </c>
      <c r="D5" s="21" t="s">
        <v>361</v>
      </c>
      <c r="E5" s="20" t="s">
        <v>95</v>
      </c>
      <c r="F5" s="21" t="s">
        <v>218</v>
      </c>
      <c r="G5" s="21" t="s">
        <v>370</v>
      </c>
      <c r="H5" s="21" t="s">
        <v>371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372</v>
      </c>
      <c r="C6" s="23" t="s">
        <v>373</v>
      </c>
      <c r="D6" s="23" t="s">
        <v>361</v>
      </c>
      <c r="E6" s="22" t="s">
        <v>95</v>
      </c>
      <c r="F6" s="23" t="s">
        <v>202</v>
      </c>
      <c r="G6" s="23" t="s">
        <v>374</v>
      </c>
      <c r="H6" s="23" t="s">
        <v>375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376</v>
      </c>
      <c r="C7" s="21" t="s">
        <v>377</v>
      </c>
      <c r="D7" s="21" t="s">
        <v>361</v>
      </c>
      <c r="E7" s="20" t="s">
        <v>95</v>
      </c>
      <c r="F7" s="21" t="s">
        <v>378</v>
      </c>
      <c r="G7" s="21" t="s">
        <v>379</v>
      </c>
      <c r="H7" s="21" t="s">
        <v>380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381</v>
      </c>
      <c r="C8" s="23" t="s">
        <v>382</v>
      </c>
      <c r="D8" s="23" t="s">
        <v>361</v>
      </c>
      <c r="E8" s="22" t="s">
        <v>95</v>
      </c>
      <c r="F8" s="23" t="s">
        <v>383</v>
      </c>
      <c r="G8" s="23" t="s">
        <v>384</v>
      </c>
      <c r="H8" s="23" t="s">
        <v>385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386</v>
      </c>
      <c r="C9" s="21" t="s">
        <v>387</v>
      </c>
      <c r="D9" s="21" t="s">
        <v>361</v>
      </c>
      <c r="E9" s="20" t="s">
        <v>121</v>
      </c>
      <c r="F9" s="21" t="s">
        <v>388</v>
      </c>
      <c r="G9" s="21" t="s">
        <v>389</v>
      </c>
      <c r="H9" s="21" t="s">
        <v>390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391</v>
      </c>
      <c r="C10" s="23" t="s">
        <v>392</v>
      </c>
      <c r="D10" s="23" t="s">
        <v>361</v>
      </c>
      <c r="E10" s="22" t="s">
        <v>121</v>
      </c>
      <c r="F10" s="23" t="s">
        <v>393</v>
      </c>
      <c r="G10" s="23" t="s">
        <v>394</v>
      </c>
      <c r="H10" s="23" t="s">
        <v>395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396</v>
      </c>
      <c r="C11" s="21" t="s">
        <v>397</v>
      </c>
      <c r="D11" s="21" t="s">
        <v>361</v>
      </c>
      <c r="E11" s="20" t="s">
        <v>121</v>
      </c>
      <c r="F11" s="21" t="s">
        <v>398</v>
      </c>
      <c r="G11" s="21" t="s">
        <v>399</v>
      </c>
      <c r="H11" s="21" t="s">
        <v>400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401</v>
      </c>
      <c r="C12" s="23" t="s">
        <v>402</v>
      </c>
      <c r="D12" s="23" t="s">
        <v>361</v>
      </c>
      <c r="E12" s="22" t="s">
        <v>95</v>
      </c>
      <c r="F12" s="23" t="s">
        <v>403</v>
      </c>
      <c r="G12" s="23" t="s">
        <v>404</v>
      </c>
      <c r="H12" s="23" t="s">
        <v>405</v>
      </c>
      <c r="I12" s="22" t="s">
        <v>51</v>
      </c>
      <c r="J12" s="23"/>
      <c r="K12" s="22"/>
      <c r="L12" s="22"/>
      <c r="M12" s="23"/>
    </row>
    <row r="13" spans="1:13" ht="60" customHeight="1" x14ac:dyDescent="0.2">
      <c r="A13" s="20">
        <v>11</v>
      </c>
      <c r="B13" s="20" t="s">
        <v>406</v>
      </c>
      <c r="C13" s="21" t="s">
        <v>407</v>
      </c>
      <c r="D13" s="21" t="s">
        <v>361</v>
      </c>
      <c r="E13" s="20" t="s">
        <v>121</v>
      </c>
      <c r="F13" s="21" t="s">
        <v>408</v>
      </c>
      <c r="G13" s="21" t="s">
        <v>409</v>
      </c>
      <c r="H13" s="21" t="s">
        <v>410</v>
      </c>
      <c r="I13" s="20" t="s">
        <v>51</v>
      </c>
      <c r="J13" s="21"/>
      <c r="K13" s="20"/>
      <c r="L13" s="20"/>
      <c r="M13" s="21"/>
    </row>
    <row r="14" spans="1:13" ht="60" customHeight="1" x14ac:dyDescent="0.2">
      <c r="A14" s="22">
        <v>12</v>
      </c>
      <c r="B14" s="22" t="s">
        <v>411</v>
      </c>
      <c r="C14" s="23" t="s">
        <v>412</v>
      </c>
      <c r="D14" s="23" t="s">
        <v>361</v>
      </c>
      <c r="E14" s="22" t="s">
        <v>121</v>
      </c>
      <c r="F14" s="23" t="s">
        <v>413</v>
      </c>
      <c r="G14" s="23" t="s">
        <v>414</v>
      </c>
      <c r="H14" s="23" t="s">
        <v>415</v>
      </c>
      <c r="I14" s="22" t="s">
        <v>51</v>
      </c>
      <c r="J14" s="23"/>
      <c r="K14" s="22"/>
      <c r="L14" s="22"/>
      <c r="M14" s="23"/>
    </row>
  </sheetData>
  <mergeCells count="1">
    <mergeCell ref="A1:M1"/>
  </mergeCells>
  <conditionalFormatting sqref="E3:E200">
    <cfRule type="cellIs" dxfId="27" priority="5" operator="equal">
      <formula>"High"</formula>
    </cfRule>
    <cfRule type="cellIs" dxfId="26" priority="6" operator="equal">
      <formula>"Medium"</formula>
    </cfRule>
    <cfRule type="cellIs" dxfId="25" priority="7" operator="equal">
      <formula>"Low"</formula>
    </cfRule>
  </conditionalFormatting>
  <conditionalFormatting sqref="I3:I200">
    <cfRule type="cellIs" dxfId="24" priority="1" operator="equal">
      <formula>"Pass"</formula>
    </cfRule>
    <cfRule type="cellIs" dxfId="23" priority="2" operator="equal">
      <formula>"Fail"</formula>
    </cfRule>
    <cfRule type="cellIs" dxfId="22" priority="3" operator="equal">
      <formula>"Blocked"</formula>
    </cfRule>
    <cfRule type="cellIs" dxfId="21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700-000000000000}">
      <formula1>"Pass,Fail,Blocked,Not Tested"</formula1>
    </dataValidation>
    <dataValidation type="list" allowBlank="1" promptTitle="Priority" prompt="High / Medium / Low" sqref="E3:E200" xr:uid="{00000000-0002-0000-07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4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416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417</v>
      </c>
      <c r="C3" s="21" t="s">
        <v>418</v>
      </c>
      <c r="D3" s="21" t="s">
        <v>419</v>
      </c>
      <c r="E3" s="20" t="s">
        <v>95</v>
      </c>
      <c r="F3" s="21" t="s">
        <v>420</v>
      </c>
      <c r="G3" s="21" t="s">
        <v>421</v>
      </c>
      <c r="H3" s="21" t="s">
        <v>422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423</v>
      </c>
      <c r="C4" s="23" t="s">
        <v>424</v>
      </c>
      <c r="D4" s="23" t="s">
        <v>419</v>
      </c>
      <c r="E4" s="22" t="s">
        <v>95</v>
      </c>
      <c r="F4" s="23" t="s">
        <v>425</v>
      </c>
      <c r="G4" s="23" t="s">
        <v>426</v>
      </c>
      <c r="H4" s="23" t="s">
        <v>427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428</v>
      </c>
      <c r="C5" s="21" t="s">
        <v>429</v>
      </c>
      <c r="D5" s="21" t="s">
        <v>419</v>
      </c>
      <c r="E5" s="20" t="s">
        <v>95</v>
      </c>
      <c r="F5" s="21" t="s">
        <v>425</v>
      </c>
      <c r="G5" s="21" t="s">
        <v>430</v>
      </c>
      <c r="H5" s="21" t="s">
        <v>431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432</v>
      </c>
      <c r="C6" s="23" t="s">
        <v>433</v>
      </c>
      <c r="D6" s="23" t="s">
        <v>419</v>
      </c>
      <c r="E6" s="22" t="s">
        <v>121</v>
      </c>
      <c r="F6" s="23" t="s">
        <v>434</v>
      </c>
      <c r="G6" s="23" t="s">
        <v>435</v>
      </c>
      <c r="H6" s="23" t="s">
        <v>436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437</v>
      </c>
      <c r="C7" s="21" t="s">
        <v>438</v>
      </c>
      <c r="D7" s="21" t="s">
        <v>419</v>
      </c>
      <c r="E7" s="20" t="s">
        <v>95</v>
      </c>
      <c r="F7" s="21" t="s">
        <v>425</v>
      </c>
      <c r="G7" s="21" t="s">
        <v>439</v>
      </c>
      <c r="H7" s="21" t="s">
        <v>440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441</v>
      </c>
      <c r="C8" s="23" t="s">
        <v>442</v>
      </c>
      <c r="D8" s="23" t="s">
        <v>419</v>
      </c>
      <c r="E8" s="22" t="s">
        <v>95</v>
      </c>
      <c r="F8" s="23" t="s">
        <v>443</v>
      </c>
      <c r="G8" s="23" t="s">
        <v>444</v>
      </c>
      <c r="H8" s="23" t="s">
        <v>445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446</v>
      </c>
      <c r="C9" s="21" t="s">
        <v>447</v>
      </c>
      <c r="D9" s="21" t="s">
        <v>419</v>
      </c>
      <c r="E9" s="20" t="s">
        <v>95</v>
      </c>
      <c r="F9" s="21" t="s">
        <v>425</v>
      </c>
      <c r="G9" s="21" t="s">
        <v>448</v>
      </c>
      <c r="H9" s="21" t="s">
        <v>449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450</v>
      </c>
      <c r="C10" s="23" t="s">
        <v>451</v>
      </c>
      <c r="D10" s="23" t="s">
        <v>419</v>
      </c>
      <c r="E10" s="22" t="s">
        <v>95</v>
      </c>
      <c r="F10" s="23" t="s">
        <v>425</v>
      </c>
      <c r="G10" s="23" t="s">
        <v>452</v>
      </c>
      <c r="H10" s="23" t="s">
        <v>453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454</v>
      </c>
      <c r="C11" s="21" t="s">
        <v>455</v>
      </c>
      <c r="D11" s="21" t="s">
        <v>419</v>
      </c>
      <c r="E11" s="20" t="s">
        <v>121</v>
      </c>
      <c r="F11" s="21" t="s">
        <v>425</v>
      </c>
      <c r="G11" s="21" t="s">
        <v>456</v>
      </c>
      <c r="H11" s="21" t="s">
        <v>457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458</v>
      </c>
      <c r="C12" s="23" t="s">
        <v>459</v>
      </c>
      <c r="D12" s="23" t="s">
        <v>419</v>
      </c>
      <c r="E12" s="22" t="s">
        <v>121</v>
      </c>
      <c r="F12" s="23" t="s">
        <v>425</v>
      </c>
      <c r="G12" s="23" t="s">
        <v>460</v>
      </c>
      <c r="H12" s="23" t="s">
        <v>461</v>
      </c>
      <c r="I12" s="22" t="s">
        <v>51</v>
      </c>
      <c r="J12" s="23"/>
      <c r="K12" s="22"/>
      <c r="L12" s="22"/>
      <c r="M12" s="23"/>
    </row>
    <row r="13" spans="1:13" ht="60" customHeight="1" x14ac:dyDescent="0.2">
      <c r="A13" s="20">
        <v>11</v>
      </c>
      <c r="B13" s="20" t="s">
        <v>462</v>
      </c>
      <c r="C13" s="21" t="s">
        <v>463</v>
      </c>
      <c r="D13" s="21" t="s">
        <v>419</v>
      </c>
      <c r="E13" s="20" t="s">
        <v>121</v>
      </c>
      <c r="F13" s="21" t="s">
        <v>464</v>
      </c>
      <c r="G13" s="21" t="s">
        <v>465</v>
      </c>
      <c r="H13" s="21" t="s">
        <v>466</v>
      </c>
      <c r="I13" s="20" t="s">
        <v>51</v>
      </c>
      <c r="J13" s="21"/>
      <c r="K13" s="20"/>
      <c r="L13" s="20"/>
      <c r="M13" s="21"/>
    </row>
    <row r="14" spans="1:13" ht="60" customHeight="1" x14ac:dyDescent="0.2">
      <c r="A14" s="22">
        <v>12</v>
      </c>
      <c r="B14" s="22" t="s">
        <v>467</v>
      </c>
      <c r="C14" s="23" t="s">
        <v>468</v>
      </c>
      <c r="D14" s="23" t="s">
        <v>419</v>
      </c>
      <c r="E14" s="22" t="s">
        <v>121</v>
      </c>
      <c r="F14" s="23" t="s">
        <v>469</v>
      </c>
      <c r="G14" s="23" t="s">
        <v>470</v>
      </c>
      <c r="H14" s="23" t="s">
        <v>471</v>
      </c>
      <c r="I14" s="22" t="s">
        <v>51</v>
      </c>
      <c r="J14" s="23"/>
      <c r="K14" s="22"/>
      <c r="L14" s="22"/>
      <c r="M14" s="23"/>
    </row>
  </sheetData>
  <mergeCells count="1">
    <mergeCell ref="A1:M1"/>
  </mergeCells>
  <conditionalFormatting sqref="E3:E200">
    <cfRule type="cellIs" dxfId="20" priority="5" operator="equal">
      <formula>"High"</formula>
    </cfRule>
    <cfRule type="cellIs" dxfId="19" priority="6" operator="equal">
      <formula>"Medium"</formula>
    </cfRule>
    <cfRule type="cellIs" dxfId="18" priority="7" operator="equal">
      <formula>"Low"</formula>
    </cfRule>
  </conditionalFormatting>
  <conditionalFormatting sqref="I3:I200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"Blocked"</formula>
    </cfRule>
    <cfRule type="cellIs" dxfId="14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800-000000000000}">
      <formula1>"Pass,Fail,Blocked,Not Tested"</formula1>
    </dataValidation>
    <dataValidation type="list" allowBlank="1" promptTitle="Priority" prompt="High / Medium / Low" sqref="E3:E200" xr:uid="{00000000-0002-0000-08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2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472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473</v>
      </c>
      <c r="C3" s="21" t="s">
        <v>474</v>
      </c>
      <c r="D3" s="21" t="s">
        <v>475</v>
      </c>
      <c r="E3" s="20" t="s">
        <v>95</v>
      </c>
      <c r="F3" s="21" t="s">
        <v>326</v>
      </c>
      <c r="G3" s="21" t="s">
        <v>476</v>
      </c>
      <c r="H3" s="21" t="s">
        <v>477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478</v>
      </c>
      <c r="C4" s="23" t="s">
        <v>479</v>
      </c>
      <c r="D4" s="23" t="s">
        <v>475</v>
      </c>
      <c r="E4" s="22" t="s">
        <v>95</v>
      </c>
      <c r="F4" s="23" t="s">
        <v>218</v>
      </c>
      <c r="G4" s="23" t="s">
        <v>476</v>
      </c>
      <c r="H4" s="23" t="s">
        <v>480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481</v>
      </c>
      <c r="C5" s="21" t="s">
        <v>482</v>
      </c>
      <c r="D5" s="21" t="s">
        <v>475</v>
      </c>
      <c r="E5" s="20" t="s">
        <v>121</v>
      </c>
      <c r="F5" s="21" t="s">
        <v>483</v>
      </c>
      <c r="G5" s="21" t="s">
        <v>484</v>
      </c>
      <c r="H5" s="21" t="s">
        <v>485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486</v>
      </c>
      <c r="C6" s="23" t="s">
        <v>487</v>
      </c>
      <c r="D6" s="23" t="s">
        <v>475</v>
      </c>
      <c r="E6" s="22" t="s">
        <v>95</v>
      </c>
      <c r="F6" s="23" t="s">
        <v>425</v>
      </c>
      <c r="G6" s="23" t="s">
        <v>488</v>
      </c>
      <c r="H6" s="23" t="s">
        <v>489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490</v>
      </c>
      <c r="C7" s="21" t="s">
        <v>491</v>
      </c>
      <c r="D7" s="21" t="s">
        <v>475</v>
      </c>
      <c r="E7" s="20" t="s">
        <v>95</v>
      </c>
      <c r="F7" s="21" t="s">
        <v>492</v>
      </c>
      <c r="G7" s="21" t="s">
        <v>493</v>
      </c>
      <c r="H7" s="21" t="s">
        <v>494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495</v>
      </c>
      <c r="C8" s="23" t="s">
        <v>496</v>
      </c>
      <c r="D8" s="23" t="s">
        <v>475</v>
      </c>
      <c r="E8" s="22" t="s">
        <v>95</v>
      </c>
      <c r="F8" s="23" t="s">
        <v>425</v>
      </c>
      <c r="G8" s="23" t="s">
        <v>497</v>
      </c>
      <c r="H8" s="23" t="s">
        <v>498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499</v>
      </c>
      <c r="C9" s="21" t="s">
        <v>500</v>
      </c>
      <c r="D9" s="21" t="s">
        <v>475</v>
      </c>
      <c r="E9" s="20" t="s">
        <v>121</v>
      </c>
      <c r="F9" s="21" t="s">
        <v>420</v>
      </c>
      <c r="G9" s="21" t="s">
        <v>501</v>
      </c>
      <c r="H9" s="21" t="s">
        <v>502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503</v>
      </c>
      <c r="C10" s="23" t="s">
        <v>504</v>
      </c>
      <c r="D10" s="23" t="s">
        <v>475</v>
      </c>
      <c r="E10" s="22" t="s">
        <v>95</v>
      </c>
      <c r="F10" s="23" t="s">
        <v>425</v>
      </c>
      <c r="G10" s="23" t="s">
        <v>505</v>
      </c>
      <c r="H10" s="23" t="s">
        <v>506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507</v>
      </c>
      <c r="C11" s="21" t="s">
        <v>508</v>
      </c>
      <c r="D11" s="21" t="s">
        <v>475</v>
      </c>
      <c r="E11" s="20" t="s">
        <v>95</v>
      </c>
      <c r="F11" s="21" t="s">
        <v>509</v>
      </c>
      <c r="G11" s="21" t="s">
        <v>510</v>
      </c>
      <c r="H11" s="21" t="s">
        <v>511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512</v>
      </c>
      <c r="C12" s="23" t="s">
        <v>513</v>
      </c>
      <c r="D12" s="23" t="s">
        <v>475</v>
      </c>
      <c r="E12" s="22" t="s">
        <v>212</v>
      </c>
      <c r="F12" s="23" t="s">
        <v>514</v>
      </c>
      <c r="G12" s="23" t="s">
        <v>515</v>
      </c>
      <c r="H12" s="23" t="s">
        <v>516</v>
      </c>
      <c r="I12" s="22" t="s">
        <v>51</v>
      </c>
      <c r="J12" s="23"/>
      <c r="K12" s="22"/>
      <c r="L12" s="22"/>
      <c r="M12" s="23"/>
    </row>
  </sheetData>
  <mergeCells count="1">
    <mergeCell ref="A1:M1"/>
  </mergeCells>
  <conditionalFormatting sqref="E3:E200">
    <cfRule type="cellIs" dxfId="13" priority="5" operator="equal">
      <formula>"High"</formula>
    </cfRule>
    <cfRule type="cellIs" dxfId="12" priority="6" operator="equal">
      <formula>"Medium"</formula>
    </cfRule>
    <cfRule type="cellIs" dxfId="11" priority="7" operator="equal">
      <formula>"Low"</formula>
    </cfRule>
  </conditionalFormatting>
  <conditionalFormatting sqref="I3:I200">
    <cfRule type="cellIs" dxfId="10" priority="1" operator="equal">
      <formula>"Pass"</formula>
    </cfRule>
    <cfRule type="cellIs" dxfId="9" priority="2" operator="equal">
      <formula>"Fail"</formula>
    </cfRule>
    <cfRule type="cellIs" dxfId="8" priority="3" operator="equal">
      <formula>"Blocked"</formula>
    </cfRule>
    <cfRule type="cellIs" dxfId="7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900-000000000000}">
      <formula1>"Pass,Fail,Blocked,Not Tested"</formula1>
    </dataValidation>
    <dataValidation type="list" allowBlank="1" promptTitle="Priority" prompt="High / Medium / Low" sqref="E3:E200" xr:uid="{00000000-0002-0000-09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2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2" customWidth="1"/>
    <col min="4" max="4" width="18" customWidth="1"/>
    <col min="5" max="5" width="10" customWidth="1"/>
    <col min="6" max="6" width="35" customWidth="1"/>
    <col min="7" max="8" width="45" customWidth="1"/>
    <col min="9" max="9" width="13" customWidth="1"/>
    <col min="10" max="10" width="35" customWidth="1"/>
    <col min="11" max="12" width="14" customWidth="1"/>
    <col min="13" max="13" width="30" customWidth="1"/>
  </cols>
  <sheetData>
    <row r="1" spans="1:13" ht="28" customHeight="1" x14ac:dyDescent="0.2">
      <c r="A1" s="30" t="s">
        <v>517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" customHeight="1" x14ac:dyDescent="0.2">
      <c r="A2" s="19" t="s">
        <v>81</v>
      </c>
      <c r="B2" s="19" t="s">
        <v>82</v>
      </c>
      <c r="C2" s="19" t="s">
        <v>83</v>
      </c>
      <c r="D2" s="19" t="s">
        <v>75</v>
      </c>
      <c r="E2" s="19" t="s">
        <v>84</v>
      </c>
      <c r="F2" s="19" t="s">
        <v>85</v>
      </c>
      <c r="G2" s="19" t="s">
        <v>86</v>
      </c>
      <c r="H2" s="19" t="s">
        <v>87</v>
      </c>
      <c r="I2" s="19" t="s">
        <v>88</v>
      </c>
      <c r="J2" s="19" t="s">
        <v>89</v>
      </c>
      <c r="K2" s="19" t="s">
        <v>90</v>
      </c>
      <c r="L2" s="19" t="s">
        <v>91</v>
      </c>
      <c r="M2" s="19" t="s">
        <v>92</v>
      </c>
    </row>
    <row r="3" spans="1:13" ht="60" customHeight="1" x14ac:dyDescent="0.2">
      <c r="A3" s="20">
        <v>1</v>
      </c>
      <c r="B3" s="20" t="s">
        <v>518</v>
      </c>
      <c r="C3" s="21" t="s">
        <v>519</v>
      </c>
      <c r="D3" s="21" t="s">
        <v>520</v>
      </c>
      <c r="E3" s="20" t="s">
        <v>95</v>
      </c>
      <c r="F3" s="21" t="s">
        <v>521</v>
      </c>
      <c r="G3" s="21" t="s">
        <v>522</v>
      </c>
      <c r="H3" s="21" t="s">
        <v>523</v>
      </c>
      <c r="I3" s="20" t="s">
        <v>51</v>
      </c>
      <c r="J3" s="21"/>
      <c r="K3" s="20"/>
      <c r="L3" s="20"/>
      <c r="M3" s="21"/>
    </row>
    <row r="4" spans="1:13" ht="60" customHeight="1" x14ac:dyDescent="0.2">
      <c r="A4" s="22">
        <v>2</v>
      </c>
      <c r="B4" s="22" t="s">
        <v>524</v>
      </c>
      <c r="C4" s="23" t="s">
        <v>525</v>
      </c>
      <c r="D4" s="23" t="s">
        <v>520</v>
      </c>
      <c r="E4" s="22" t="s">
        <v>95</v>
      </c>
      <c r="F4" s="23" t="s">
        <v>526</v>
      </c>
      <c r="G4" s="23" t="s">
        <v>527</v>
      </c>
      <c r="H4" s="23" t="s">
        <v>528</v>
      </c>
      <c r="I4" s="22" t="s">
        <v>51</v>
      </c>
      <c r="J4" s="23"/>
      <c r="K4" s="22"/>
      <c r="L4" s="22"/>
      <c r="M4" s="23"/>
    </row>
    <row r="5" spans="1:13" ht="60" customHeight="1" x14ac:dyDescent="0.2">
      <c r="A5" s="20">
        <v>3</v>
      </c>
      <c r="B5" s="20" t="s">
        <v>529</v>
      </c>
      <c r="C5" s="21" t="s">
        <v>530</v>
      </c>
      <c r="D5" s="21" t="s">
        <v>520</v>
      </c>
      <c r="E5" s="20" t="s">
        <v>121</v>
      </c>
      <c r="F5" s="21" t="s">
        <v>531</v>
      </c>
      <c r="G5" s="21" t="s">
        <v>532</v>
      </c>
      <c r="H5" s="21" t="s">
        <v>533</v>
      </c>
      <c r="I5" s="20" t="s">
        <v>51</v>
      </c>
      <c r="J5" s="21"/>
      <c r="K5" s="20"/>
      <c r="L5" s="20"/>
      <c r="M5" s="21"/>
    </row>
    <row r="6" spans="1:13" ht="60" customHeight="1" x14ac:dyDescent="0.2">
      <c r="A6" s="22">
        <v>4</v>
      </c>
      <c r="B6" s="22" t="s">
        <v>534</v>
      </c>
      <c r="C6" s="23" t="s">
        <v>535</v>
      </c>
      <c r="D6" s="23" t="s">
        <v>520</v>
      </c>
      <c r="E6" s="22" t="s">
        <v>95</v>
      </c>
      <c r="F6" s="23" t="s">
        <v>536</v>
      </c>
      <c r="G6" s="23" t="s">
        <v>537</v>
      </c>
      <c r="H6" s="23" t="s">
        <v>538</v>
      </c>
      <c r="I6" s="22" t="s">
        <v>51</v>
      </c>
      <c r="J6" s="23"/>
      <c r="K6" s="22"/>
      <c r="L6" s="22"/>
      <c r="M6" s="23"/>
    </row>
    <row r="7" spans="1:13" ht="60" customHeight="1" x14ac:dyDescent="0.2">
      <c r="A7" s="20">
        <v>5</v>
      </c>
      <c r="B7" s="20" t="s">
        <v>539</v>
      </c>
      <c r="C7" s="21" t="s">
        <v>540</v>
      </c>
      <c r="D7" s="21" t="s">
        <v>520</v>
      </c>
      <c r="E7" s="20" t="s">
        <v>95</v>
      </c>
      <c r="F7" s="21" t="s">
        <v>541</v>
      </c>
      <c r="G7" s="21" t="s">
        <v>542</v>
      </c>
      <c r="H7" s="21" t="s">
        <v>543</v>
      </c>
      <c r="I7" s="20" t="s">
        <v>51</v>
      </c>
      <c r="J7" s="21"/>
      <c r="K7" s="20"/>
      <c r="L7" s="20"/>
      <c r="M7" s="21"/>
    </row>
    <row r="8" spans="1:13" ht="60" customHeight="1" x14ac:dyDescent="0.2">
      <c r="A8" s="22">
        <v>6</v>
      </c>
      <c r="B8" s="22" t="s">
        <v>544</v>
      </c>
      <c r="C8" s="23" t="s">
        <v>545</v>
      </c>
      <c r="D8" s="23" t="s">
        <v>520</v>
      </c>
      <c r="E8" s="22" t="s">
        <v>95</v>
      </c>
      <c r="F8" s="23" t="s">
        <v>425</v>
      </c>
      <c r="G8" s="23" t="s">
        <v>546</v>
      </c>
      <c r="H8" s="23" t="s">
        <v>547</v>
      </c>
      <c r="I8" s="22" t="s">
        <v>51</v>
      </c>
      <c r="J8" s="23"/>
      <c r="K8" s="22"/>
      <c r="L8" s="22"/>
      <c r="M8" s="23"/>
    </row>
    <row r="9" spans="1:13" ht="60" customHeight="1" x14ac:dyDescent="0.2">
      <c r="A9" s="20">
        <v>7</v>
      </c>
      <c r="B9" s="20" t="s">
        <v>548</v>
      </c>
      <c r="C9" s="21" t="s">
        <v>549</v>
      </c>
      <c r="D9" s="21" t="s">
        <v>520</v>
      </c>
      <c r="E9" s="20" t="s">
        <v>95</v>
      </c>
      <c r="F9" s="21" t="s">
        <v>425</v>
      </c>
      <c r="G9" s="21" t="s">
        <v>550</v>
      </c>
      <c r="H9" s="21" t="s">
        <v>551</v>
      </c>
      <c r="I9" s="20" t="s">
        <v>51</v>
      </c>
      <c r="J9" s="21"/>
      <c r="K9" s="20"/>
      <c r="L9" s="20"/>
      <c r="M9" s="21"/>
    </row>
    <row r="10" spans="1:13" ht="60" customHeight="1" x14ac:dyDescent="0.2">
      <c r="A10" s="22">
        <v>8</v>
      </c>
      <c r="B10" s="22" t="s">
        <v>552</v>
      </c>
      <c r="C10" s="23" t="s">
        <v>553</v>
      </c>
      <c r="D10" s="23" t="s">
        <v>520</v>
      </c>
      <c r="E10" s="22" t="s">
        <v>121</v>
      </c>
      <c r="F10" s="23" t="s">
        <v>326</v>
      </c>
      <c r="G10" s="23" t="s">
        <v>554</v>
      </c>
      <c r="H10" s="23" t="s">
        <v>555</v>
      </c>
      <c r="I10" s="22" t="s">
        <v>51</v>
      </c>
      <c r="J10" s="23"/>
      <c r="K10" s="22"/>
      <c r="L10" s="22"/>
      <c r="M10" s="23"/>
    </row>
    <row r="11" spans="1:13" ht="60" customHeight="1" x14ac:dyDescent="0.2">
      <c r="A11" s="20">
        <v>9</v>
      </c>
      <c r="B11" s="20" t="s">
        <v>556</v>
      </c>
      <c r="C11" s="21" t="s">
        <v>557</v>
      </c>
      <c r="D11" s="21" t="s">
        <v>520</v>
      </c>
      <c r="E11" s="20" t="s">
        <v>121</v>
      </c>
      <c r="F11" s="21" t="s">
        <v>558</v>
      </c>
      <c r="G11" s="21" t="s">
        <v>559</v>
      </c>
      <c r="H11" s="21" t="s">
        <v>560</v>
      </c>
      <c r="I11" s="20" t="s">
        <v>51</v>
      </c>
      <c r="J11" s="21"/>
      <c r="K11" s="20"/>
      <c r="L11" s="20"/>
      <c r="M11" s="21"/>
    </row>
    <row r="12" spans="1:13" ht="60" customHeight="1" x14ac:dyDescent="0.2">
      <c r="A12" s="22">
        <v>10</v>
      </c>
      <c r="B12" s="22" t="s">
        <v>561</v>
      </c>
      <c r="C12" s="23" t="s">
        <v>562</v>
      </c>
      <c r="D12" s="23" t="s">
        <v>520</v>
      </c>
      <c r="E12" s="22" t="s">
        <v>121</v>
      </c>
      <c r="F12" s="23" t="s">
        <v>563</v>
      </c>
      <c r="G12" s="23" t="s">
        <v>564</v>
      </c>
      <c r="H12" s="23" t="s">
        <v>565</v>
      </c>
      <c r="I12" s="22" t="s">
        <v>51</v>
      </c>
      <c r="J12" s="23"/>
      <c r="K12" s="22"/>
      <c r="L12" s="22"/>
      <c r="M12" s="23"/>
    </row>
  </sheetData>
  <mergeCells count="1">
    <mergeCell ref="A1:M1"/>
  </mergeCells>
  <conditionalFormatting sqref="E3:E200">
    <cfRule type="cellIs" dxfId="6" priority="5" operator="equal">
      <formula>"High"</formula>
    </cfRule>
    <cfRule type="cellIs" dxfId="5" priority="6" operator="equal">
      <formula>"Medium"</formula>
    </cfRule>
    <cfRule type="cellIs" dxfId="4" priority="7" operator="equal">
      <formula>"Low"</formula>
    </cfRule>
  </conditionalFormatting>
  <conditionalFormatting sqref="I3:I200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"Not Tested"</formula>
    </cfRule>
  </conditionalFormatting>
  <dataValidations count="2">
    <dataValidation type="list" allowBlank="1" errorTitle="Invalid status" error="Please select from the list" promptTitle="Status" prompt="Pass / Fail / Blocked / Not Tested" sqref="I3:I200" xr:uid="{00000000-0002-0000-0A00-000000000000}">
      <formula1>"Pass,Fail,Blocked,Not Tested"</formula1>
    </dataValidation>
    <dataValidation type="list" allowBlank="1" promptTitle="Priority" prompt="High / Medium / Low" sqref="E3:E200" xr:uid="{00000000-0002-0000-0A00-000001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1CF9-7378-CD45-B6BB-8991AA58026C}">
  <dimension ref="A1:C4"/>
  <sheetViews>
    <sheetView tabSelected="1" workbookViewId="0">
      <selection activeCell="D16" sqref="D16"/>
    </sheetView>
  </sheetViews>
  <sheetFormatPr baseColWidth="10" defaultRowHeight="15" x14ac:dyDescent="0.2"/>
  <cols>
    <col min="1" max="1" width="17.6640625" customWidth="1"/>
  </cols>
  <sheetData>
    <row r="1" spans="1:3" x14ac:dyDescent="0.2">
      <c r="A1" t="s">
        <v>566</v>
      </c>
      <c r="B1" t="s">
        <v>567</v>
      </c>
      <c r="C1" t="s">
        <v>568</v>
      </c>
    </row>
    <row r="2" spans="1:3" x14ac:dyDescent="0.2">
      <c r="A2" s="31" t="s">
        <v>569</v>
      </c>
      <c r="B2" t="s">
        <v>570</v>
      </c>
      <c r="C2" t="s">
        <v>571</v>
      </c>
    </row>
    <row r="3" spans="1:3" x14ac:dyDescent="0.2">
      <c r="A3" s="31" t="s">
        <v>572</v>
      </c>
      <c r="B3" t="s">
        <v>573</v>
      </c>
      <c r="C3" t="s">
        <v>574</v>
      </c>
    </row>
    <row r="4" spans="1:3" x14ac:dyDescent="0.2">
      <c r="A4" t="s">
        <v>575</v>
      </c>
      <c r="B4" t="s">
        <v>576</v>
      </c>
      <c r="C4" t="s">
        <v>577</v>
      </c>
    </row>
  </sheetData>
  <hyperlinks>
    <hyperlink ref="A2" r:id="rId1" xr:uid="{3B585E15-3840-5140-A2BE-9A7BEEA01CD6}"/>
    <hyperlink ref="A3" r:id="rId2" xr:uid="{C4955F8A-E831-944E-BBF3-8E1DE355A5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Cover</vt:lpstr>
      <vt:lpstr>Instructions</vt:lpstr>
      <vt:lpstr>Test Summary</vt:lpstr>
      <vt:lpstr>TC_Authentication</vt:lpstr>
      <vt:lpstr>TC_Dashboard</vt:lpstr>
      <vt:lpstr>TC_Device_Mgmt</vt:lpstr>
      <vt:lpstr>TC_User_Mgmt</vt:lpstr>
      <vt:lpstr>TC_Activity</vt:lpstr>
      <vt:lpstr>TC_Profile</vt:lpstr>
      <vt:lpstr>TC_Navigation</vt:lpstr>
      <vt:lpstr>TC_API</vt:lpstr>
      <vt:lpstr>Account</vt:lpstr>
      <vt:lpstr>TC_Activity!Print_Titles</vt:lpstr>
      <vt:lpstr>TC_API!Print_Titles</vt:lpstr>
      <vt:lpstr>TC_Authentication!Print_Titles</vt:lpstr>
      <vt:lpstr>TC_Dashboard!Print_Titles</vt:lpstr>
      <vt:lpstr>TC_Device_Mgmt!Print_Titles</vt:lpstr>
      <vt:lpstr>TC_Navigation!Print_Titles</vt:lpstr>
      <vt:lpstr>TC_Profile!Print_Titles</vt:lpstr>
      <vt:lpstr>TC_User_Mgmt!Print_Titles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Subrata Bahtiar</cp:lastModifiedBy>
  <dcterms:created xsi:type="dcterms:W3CDTF">2026-04-19T01:39:57Z</dcterms:created>
  <dcterms:modified xsi:type="dcterms:W3CDTF">2026-04-20T02:03:42Z</dcterms:modified>
</cp:coreProperties>
</file>